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a Pakai" sheetId="1" state="visible" r:id="rId3"/>
    <sheet name="Peta Memori" sheetId="2" state="visible" r:id="rId4"/>
    <sheet name="Peripheral" sheetId="3" state="visible" r:id="rId5"/>
    <sheet name="Register" sheetId="4" state="visible" r:id="rId6"/>
    <sheet name="Alamat GPIO" sheetId="5" state="visible" r:id="rId7"/>
    <sheet name="Alternate Function" sheetId="6" state="visible" r:id="rId8"/>
    <sheet name="Cari Sinyal" sheetId="7" state="visible" r:id="rId9"/>
    <sheet name="Timer" sheetId="8" state="visible" r:id="rId10"/>
    <sheet name="Kalkulator Alamat" sheetId="9" state="visible" r:id="rId11"/>
  </sheets>
  <definedNames>
    <definedName function="false" hidden="true" localSheetId="5" name="_xlnm._FilterDatabase" vbProcedure="false">'Alternate Function'!$A$5:$S$145</definedName>
    <definedName function="false" hidden="true" localSheetId="6" name="_xlnm._FilterDatabase" vbProcedure="false">'Cari Sinyal'!$A$4:$E$420</definedName>
    <definedName function="false" hidden="true" localSheetId="2" name="_xlnm._FilterDatabase" vbProcedure="false">Peripheral!$A$4:$H$72</definedName>
    <definedName function="false" hidden="true" localSheetId="1" name="_xlnm._FilterDatabase" vbProcedure="false">'Peta Memori'!$A$4:$F$20</definedName>
    <definedName function="false" hidden="true" localSheetId="3" name="_xlnm._FilterDatabase" vbProcedure="false">Register!$A$4:$H$118</definedName>
    <definedName function="false" hidden="true" localSheetId="7" name="_xlnm._FilterDatabase" vbProcedure="false">Timer!$A$4:$S$18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<sst xmlns="http://schemas.openxmlformats.org/spreadsheetml/2006/main" count="6161" uniqueCount="1500">
  <si>
    <t xml:space="preserve">Referensi Register STM32F405/STM32F407</t>
  </si>
  <si>
    <t xml:space="preserve">Contekan untuk bare-metal: alamat, register, pin, dan timer.</t>
  </si>
  <si>
    <t xml:space="preserve">Isi workbook</t>
  </si>
  <si>
    <t xml:space="preserve">Peta Memori</t>
  </si>
  <si>
    <t xml:space="preserve">Flash, SRAM, CCM, area peripheral. Dipakai untuk linker script.</t>
  </si>
  <si>
    <t xml:space="preserve">Peripheral</t>
  </si>
  <si>
    <t xml:space="preserve">Base address tiap peripheral + register &amp; bit untuk menyalakan clock-nya.</t>
  </si>
  <si>
    <t xml:space="preserve">Register</t>
  </si>
  <si>
    <t xml:space="preserve">Offset, nilai reset, fungsi, dan bit penting tiap register (RCC, GPIO, TIM, USART, EXTI, SYSCFG, I2C, SPI, FLASH, PWR, SysTick, NVIC, SCB).</t>
  </si>
  <si>
    <t xml:space="preserve">Alamat GPIO</t>
  </si>
  <si>
    <t xml:space="preserve">Alamat lengkap semua register GPIOA-GPIOI, dihitung otomatis (base + offset).</t>
  </si>
  <si>
    <t xml:space="preserve">Alternate Function</t>
  </si>
  <si>
    <t xml:space="preserve">Fungsi AF0-AF15 untuk setiap pin PA0-PI11. Pakai filter di kolom Port.</t>
  </si>
  <si>
    <t xml:space="preserve">Cari Sinyal</t>
  </si>
  <si>
    <t xml:space="preserve">Kebalikan sheet AF: cari nama sinyal (mis. TIM3_CH1, USART2_TX) untuk tahu pin dan nomor AF-nya.</t>
  </si>
  <si>
    <t xml:space="preserve">Timer</t>
  </si>
  <si>
    <t xml:space="preserve">Ringkasan semua timer: bus, resolusi, channel, clock maks, enable bit, dan pin tiap channel.</t>
  </si>
  <si>
    <t xml:space="preserve">Kalkulator Alamat</t>
  </si>
  <si>
    <t xml:space="preserve">Ketik nama peripheral + register (sel kuning), alamat lengkap muncul otomatis.</t>
  </si>
  <si>
    <t xml:space="preserve">Rumus dasar</t>
  </si>
  <si>
    <t xml:space="preserve">Alamat register = Base address peripheral + Offset register</t>
  </si>
  <si>
    <t xml:space="preserve">Contoh</t>
  </si>
  <si>
    <t xml:space="preserve">Base sebuah GPIO + offset ODR = alamat ODR port itu. Lihat sheet Alamat GPIO.</t>
  </si>
  <si>
    <t xml:space="preserve">Sumber</t>
  </si>
  <si>
    <t xml:space="preserve">Base address, peta memori, tabel AF, dan data timer: Datasheet DS8626 Rev 12 (Maret 2026), Bab 5 hal. 73-77, Table 9 hal. 64-72, Table 4 hal. 33-34.</t>
  </si>
  <si>
    <t xml:space="preserve">Offset register, nilai reset, dan posisi bit: Reference Manual RM0090 dan Cortex-M4 Generic User Guide. Bagian ini disusun dari referensi tersebut, bukan dari PDF yang kamu lampirkan. Cocokkan dulu dengan RM0090 sebelum dipakai di kode.</t>
  </si>
  <si>
    <t xml:space="preserve">Catatan paket</t>
  </si>
  <si>
    <t xml:space="preserve">Tidak semua pin ada di setiap paket. LQFP64 hanya punya PA, PB, PC, PD2, dan PH0-1. LQFP100 punya PA-PE. PF, PG, PI hanya di paket 144/176 pin. Cek Table 7 datasheet (hal. 49).</t>
  </si>
  <si>
    <t xml:space="preserve">Pin yang jangan diganggu</t>
  </si>
  <si>
    <t xml:space="preserve">PA13 (SWDIO) dan PA14 (SWCLK) dipakai debugger. Kalau diubah jadi output, ST-Link tidak bisa tersambung lagi tanpa connect-under-reset.</t>
  </si>
  <si>
    <t xml:space="preserve">Peta Memori STM32F40x</t>
  </si>
  <si>
    <t xml:space="preserve">Sumber: DS8626 Figure 18 (hal. 73) dan Bab 3.4-3.6. Ukuran flash tergantung huruf kode chip (E = 512 KB, G = 1 MB).</t>
  </si>
  <si>
    <t xml:space="preserve">Area</t>
  </si>
  <si>
    <t xml:space="preserve">Alamat awal</t>
  </si>
  <si>
    <t xml:space="preserve">Alamat akhir</t>
  </si>
  <si>
    <t xml:space="preserve">Ukuran</t>
  </si>
  <si>
    <t xml:space="preserve">Isi / fungsi</t>
  </si>
  <si>
    <t xml:space="preserve">Dipakai di</t>
  </si>
  <si>
    <t xml:space="preserve">Aliased boot area</t>
  </si>
  <si>
    <t xml:space="preserve">0x00000000</t>
  </si>
  <si>
    <t xml:space="preserve">0x000FFFFF</t>
  </si>
  <si>
    <t xml:space="preserve">1 MB</t>
  </si>
  <si>
    <t xml:space="preserve">Cerminan Flash / System memory / SRAM, tergantung pin BOOT</t>
  </si>
  <si>
    <t xml:space="preserve">-</t>
  </si>
  <si>
    <t xml:space="preserve">Flash (program)</t>
  </si>
  <si>
    <t xml:space="preserve">0x08000000</t>
  </si>
  <si>
    <t xml:space="preserve">0x080FFFFF</t>
  </si>
  <si>
    <t xml:space="preserve">512 KB atau 1 MB</t>
  </si>
  <si>
    <t xml:space="preserve">Kode program &amp; konstanta. Versi 512 KB berakhir di 0x0807FFFF</t>
  </si>
  <si>
    <t xml:space="preserve">FLASH di linker script</t>
  </si>
  <si>
    <t xml:space="preserve">CCM data RAM</t>
  </si>
  <si>
    <t xml:space="preserve">0x10000000</t>
  </si>
  <si>
    <t xml:space="preserve">0x1000FFFF</t>
  </si>
  <si>
    <t xml:space="preserve">64 KB</t>
  </si>
  <si>
    <t xml:space="preserve">RAM cepat khusus CPU. TIDAK bisa diakses DMA</t>
  </si>
  <si>
    <t xml:space="preserve">Opsional (Minggu 7)</t>
  </si>
  <si>
    <t xml:space="preserve">System memory + OTP</t>
  </si>
  <si>
    <t xml:space="preserve">0x1FFF0000</t>
  </si>
  <si>
    <t xml:space="preserve">0x1FFF7A0F</t>
  </si>
  <si>
    <t xml:space="preserve">~30 KB</t>
  </si>
  <si>
    <t xml:space="preserve">Bootloader bawaan ST + 512 byte OTP</t>
  </si>
  <si>
    <t xml:space="preserve">Unique ID (96-bit)</t>
  </si>
  <si>
    <t xml:space="preserve">0x1FFF7A10</t>
  </si>
  <si>
    <t xml:space="preserve">0x1FFF7A1B</t>
  </si>
  <si>
    <t xml:space="preserve">12 byte</t>
  </si>
  <si>
    <t xml:space="preserve">Nomor seri unik chip</t>
  </si>
  <si>
    <t xml:space="preserve">Flash size register</t>
  </si>
  <si>
    <t xml:space="preserve">0x1FFF7A22</t>
  </si>
  <si>
    <t xml:space="preserve">0x1FFF7A23</t>
  </si>
  <si>
    <t xml:space="preserve">2 byte</t>
  </si>
  <si>
    <t xml:space="preserve">Ukuran flash dalam KB (bisa dibaca dari kode)</t>
  </si>
  <si>
    <t xml:space="preserve">Option bytes</t>
  </si>
  <si>
    <t xml:space="preserve">0x1FFFC000</t>
  </si>
  <si>
    <t xml:space="preserve">0x1FFFC007</t>
  </si>
  <si>
    <t xml:space="preserve">8 byte</t>
  </si>
  <si>
    <t xml:space="preserve">Proteksi baca/tulis, level BOR</t>
  </si>
  <si>
    <t xml:space="preserve">SRAM1</t>
  </si>
  <si>
    <t xml:space="preserve">0x20000000</t>
  </si>
  <si>
    <t xml:space="preserve">0x2001BFFF</t>
  </si>
  <si>
    <t xml:space="preserve">112 KB</t>
  </si>
  <si>
    <t xml:space="preserve">RAM utama</t>
  </si>
  <si>
    <t xml:space="preserve">RAM di linker script</t>
  </si>
  <si>
    <t xml:space="preserve">SRAM2</t>
  </si>
  <si>
    <t xml:space="preserve">0x2001C000</t>
  </si>
  <si>
    <t xml:space="preserve">0x2001FFFF</t>
  </si>
  <si>
    <t xml:space="preserve">16 KB</t>
  </si>
  <si>
    <t xml:space="preserve">RAM utama (bersambung dengan SRAM1)</t>
  </si>
  <si>
    <t xml:space="preserve">Peripheral APB1</t>
  </si>
  <si>
    <t xml:space="preserve">0x40000000</t>
  </si>
  <si>
    <t xml:space="preserve">0x40007FFF</t>
  </si>
  <si>
    <t xml:space="preserve">TIM2-7, TIM12-14, USART2/3, UART4/5, I2C, SPI2/3, CAN, PWR, DAC</t>
  </si>
  <si>
    <t xml:space="preserve">Sheet Peripheral</t>
  </si>
  <si>
    <t xml:space="preserve">Peripheral APB2</t>
  </si>
  <si>
    <t xml:space="preserve">0x40010000</t>
  </si>
  <si>
    <t xml:space="preserve">0x40015FFF</t>
  </si>
  <si>
    <t xml:space="preserve">TIM1/8-11, USART1/6, ADC, SPI1, SDIO, SYSCFG, EXTI</t>
  </si>
  <si>
    <t xml:space="preserve">Peripheral AHB1</t>
  </si>
  <si>
    <t xml:space="preserve">0x40020000</t>
  </si>
  <si>
    <t xml:space="preserve">0x4007FFFF</t>
  </si>
  <si>
    <t xml:space="preserve">GPIO, RCC, Flash interface, CRC, DMA, Ethernet, USB HS</t>
  </si>
  <si>
    <t xml:space="preserve">Backup SRAM</t>
  </si>
  <si>
    <t xml:space="preserve">0x40024000</t>
  </si>
  <si>
    <t xml:space="preserve">0x40024FFF</t>
  </si>
  <si>
    <t xml:space="preserve">4 KB</t>
  </si>
  <si>
    <t xml:space="preserve">Tersimpan saat Standby/VBAT</t>
  </si>
  <si>
    <t xml:space="preserve">Peripheral AHB2</t>
  </si>
  <si>
    <t xml:space="preserve">0x50000000</t>
  </si>
  <si>
    <t xml:space="preserve">0x50060BFF</t>
  </si>
  <si>
    <t xml:space="preserve">USB OTG FS, DCMI, RNG</t>
  </si>
  <si>
    <t xml:space="preserve">FSMC</t>
  </si>
  <si>
    <t xml:space="preserve">0x60000000</t>
  </si>
  <si>
    <t xml:space="preserve">0xA0000FFF</t>
  </si>
  <si>
    <t xml:space="preserve">Memori eksternal</t>
  </si>
  <si>
    <t xml:space="preserve">Cortex-M4 internal</t>
  </si>
  <si>
    <t xml:space="preserve">0xE0000000</t>
  </si>
  <si>
    <t xml:space="preserve">0xE00FFFFF</t>
  </si>
  <si>
    <t xml:space="preserve">SysTick, NVIC, SCB, debug</t>
  </si>
  <si>
    <t xml:space="preserve">Sheet Register</t>
  </si>
  <si>
    <t xml:space="preserve">Total SRAM utama</t>
  </si>
  <si>
    <t xml:space="preserve">byte</t>
  </si>
  <si>
    <t xml:space="preserve">Dalam KB</t>
  </si>
  <si>
    <t xml:space="preserve">KB (SRAM1 + SRAM2, tidak termasuk CCM)</t>
  </si>
  <si>
    <t xml:space="preserve">Base Address Peripheral</t>
  </si>
  <si>
    <t xml:space="preserve">Sumber base address: DS8626 Table 10 (hal. 74-77). Register &amp; bit enable clock: RM0090 bab RCC. Filter kolom Bus untuk melihat per bus.</t>
  </si>
  <si>
    <t xml:space="preserve">Bus</t>
  </si>
  <si>
    <t xml:space="preserve">Base address</t>
  </si>
  <si>
    <t xml:space="preserve">Kelompok register</t>
  </si>
  <si>
    <t xml:space="preserve">Fungsi</t>
  </si>
  <si>
    <t xml:space="preserve">Register enable clock</t>
  </si>
  <si>
    <t xml:space="preserve">Bit enable</t>
  </si>
  <si>
    <t xml:space="preserve">Cortex-M4</t>
  </si>
  <si>
    <t xml:space="preserve">Blok peripheral inti CPU (SysTick, NVIC, SCB, debug). Detail di sheet Register.</t>
  </si>
  <si>
    <t xml:space="preserve">SysTick</t>
  </si>
  <si>
    <t xml:space="preserve">0xE000E010</t>
  </si>
  <si>
    <t xml:space="preserve">0xE000E01F</t>
  </si>
  <si>
    <t xml:space="preserve">SYSTICK</t>
  </si>
  <si>
    <t xml:space="preserve">Timer 24-bit bawaan CPU, untuk delay presisi / tick (Minggu 2)</t>
  </si>
  <si>
    <t xml:space="preserve">- (selalu aktif)</t>
  </si>
  <si>
    <t xml:space="preserve">NVIC</t>
  </si>
  <si>
    <t xml:space="preserve">0xE000E100</t>
  </si>
  <si>
    <t xml:space="preserve">0xE000E4EF</t>
  </si>
  <si>
    <t xml:space="preserve">Pengendali interrupt: enable/disable IRQ, prioritas</t>
  </si>
  <si>
    <t xml:space="preserve">SCB</t>
  </si>
  <si>
    <t xml:space="preserve">0xE000ED00</t>
  </si>
  <si>
    <t xml:space="preserve">0xE000ED8F</t>
  </si>
  <si>
    <t xml:space="preserve">System Control Block: vector table offset, info fault (HardFault), CPACR untuk FPU</t>
  </si>
  <si>
    <t xml:space="preserve">AHB3</t>
  </si>
  <si>
    <t xml:space="preserve">FSMC control</t>
  </si>
  <si>
    <t xml:space="preserve">0xA0000000</t>
  </si>
  <si>
    <t xml:space="preserve">Pengendali memori eksternal (SRAM/NOR/NAND/LCD paralel)</t>
  </si>
  <si>
    <t xml:space="preserve">RCC_AHB3ENR</t>
  </si>
  <si>
    <t xml:space="preserve">0 (FSMCEN)</t>
  </si>
  <si>
    <t xml:space="preserve">FSMC bank 4</t>
  </si>
  <si>
    <t xml:space="preserve">0x90000000</t>
  </si>
  <si>
    <t xml:space="preserve">0x9FFFFFFF</t>
  </si>
  <si>
    <t xml:space="preserve">Ruang alamat memori eksternal (PC Card)</t>
  </si>
  <si>
    <t xml:space="preserve">FSMC bank 3</t>
  </si>
  <si>
    <t xml:space="preserve">0x80000000</t>
  </si>
  <si>
    <t xml:space="preserve">0x8FFFFFFF</t>
  </si>
  <si>
    <t xml:space="preserve">Ruang alamat memori eksternal (NAND)</t>
  </si>
  <si>
    <t xml:space="preserve">FSMC bank 2</t>
  </si>
  <si>
    <t xml:space="preserve">0x70000000</t>
  </si>
  <si>
    <t xml:space="preserve">0x7FFFFFFF</t>
  </si>
  <si>
    <t xml:space="preserve">FSMC bank 1</t>
  </si>
  <si>
    <t xml:space="preserve">0x6FFFFFFF</t>
  </si>
  <si>
    <t xml:space="preserve">Ruang alamat memori eksternal (NOR/SRAM/LCD)</t>
  </si>
  <si>
    <t xml:space="preserve">AHB2</t>
  </si>
  <si>
    <t xml:space="preserve">RNG</t>
  </si>
  <si>
    <t xml:space="preserve">0x50060800</t>
  </si>
  <si>
    <t xml:space="preserve">Pembangkit bilangan acak hardware</t>
  </si>
  <si>
    <t xml:space="preserve">RCC_AHB2ENR</t>
  </si>
  <si>
    <t xml:space="preserve">6 (RNGEN)</t>
  </si>
  <si>
    <t xml:space="preserve">DCMI</t>
  </si>
  <si>
    <t xml:space="preserve">0x50050000</t>
  </si>
  <si>
    <t xml:space="preserve">0x500503FF</t>
  </si>
  <si>
    <t xml:space="preserve">Antarmuka kamera paralel</t>
  </si>
  <si>
    <t xml:space="preserve">0 (DCMIEN)</t>
  </si>
  <si>
    <t xml:space="preserve">USB OTG FS</t>
  </si>
  <si>
    <t xml:space="preserve">0x5003FFFF</t>
  </si>
  <si>
    <t xml:space="preserve">USB full-speed (device/host)</t>
  </si>
  <si>
    <t xml:space="preserve">7 (OTGFSEN)</t>
  </si>
  <si>
    <t xml:space="preserve">AHB1</t>
  </si>
  <si>
    <t xml:space="preserve">USB OTG HS</t>
  </si>
  <si>
    <t xml:space="preserve">0x40040000</t>
  </si>
  <si>
    <t xml:space="preserve">USB high-speed</t>
  </si>
  <si>
    <t xml:space="preserve">RCC_AHB1ENR</t>
  </si>
  <si>
    <t xml:space="preserve">29 (OTGHSEN)</t>
  </si>
  <si>
    <t xml:space="preserve">ETHERNET MAC</t>
  </si>
  <si>
    <t xml:space="preserve">0x40028000</t>
  </si>
  <si>
    <t xml:space="preserve">0x400293FF</t>
  </si>
  <si>
    <t xml:space="preserve">Ethernet 10/100</t>
  </si>
  <si>
    <t xml:space="preserve">25 (ETHMACEN)</t>
  </si>
  <si>
    <t xml:space="preserve">DMA2</t>
  </si>
  <si>
    <t xml:space="preserve">0x40026400</t>
  </si>
  <si>
    <t xml:space="preserve">0x400267FF</t>
  </si>
  <si>
    <t xml:space="preserve">DMA controller 2 (melayani peripheral APB2, mis. USART1, SPI1, ADC)</t>
  </si>
  <si>
    <t xml:space="preserve">22 (DMA2EN)</t>
  </si>
  <si>
    <t xml:space="preserve">DMA1</t>
  </si>
  <si>
    <t xml:space="preserve">0x40026000</t>
  </si>
  <si>
    <t xml:space="preserve">0x400263FF</t>
  </si>
  <si>
    <t xml:space="preserve">DMA controller 1 (melayani peripheral APB1, mis. USART2, I2C, SPI2/3)</t>
  </si>
  <si>
    <t xml:space="preserve">21 (DMA1EN)</t>
  </si>
  <si>
    <t xml:space="preserve">BKPSRAM</t>
  </si>
  <si>
    <t xml:space="preserve">Backup SRAM 4 KB (tetap tersimpan saat Standby/VBAT)</t>
  </si>
  <si>
    <t xml:space="preserve">18 (BKPSRAMEN)</t>
  </si>
  <si>
    <t xml:space="preserve">Flash interface</t>
  </si>
  <si>
    <t xml:space="preserve">0x40023C00</t>
  </si>
  <si>
    <t xml:space="preserve">0x40023FFF</t>
  </si>
  <si>
    <t xml:space="preserve">FLASH</t>
  </si>
  <si>
    <t xml:space="preserve">Pengaturan flash: wait state (wajib diubah saat clock dinaikkan), unlock tulis</t>
  </si>
  <si>
    <t xml:space="preserve">RCC</t>
  </si>
  <si>
    <t xml:space="preserve">0x40023800</t>
  </si>
  <si>
    <t xml:space="preserve">0x40023BFF</t>
  </si>
  <si>
    <t xml:space="preserve">Reset &amp; Clock Control: sumber clock, PLL, enable clock tiap peripheral</t>
  </si>
  <si>
    <t xml:space="preserve">CRC</t>
  </si>
  <si>
    <t xml:space="preserve">0x40023000</t>
  </si>
  <si>
    <t xml:space="preserve">0x400233FF</t>
  </si>
  <si>
    <t xml:space="preserve">Unit hitung CRC-32</t>
  </si>
  <si>
    <t xml:space="preserve">12 (CRCEN)</t>
  </si>
  <si>
    <t xml:space="preserve">GPIOI</t>
  </si>
  <si>
    <t xml:space="preserve">0x40022000</t>
  </si>
  <si>
    <t xml:space="preserve">0x400223FF</t>
  </si>
  <si>
    <t xml:space="preserve">GPIO</t>
  </si>
  <si>
    <t xml:space="preserve">Port I (hanya paket 176 pin)</t>
  </si>
  <si>
    <t xml:space="preserve">8 (GPIOIEN)</t>
  </si>
  <si>
    <t xml:space="preserve">GPIOH</t>
  </si>
  <si>
    <t xml:space="preserve">0x40021C00</t>
  </si>
  <si>
    <t xml:space="preserve">0x40021FFF</t>
  </si>
  <si>
    <t xml:space="preserve">Port H (PH0/PH1 = pin kristal HSE)</t>
  </si>
  <si>
    <t xml:space="preserve">7 (GPIOHEN)</t>
  </si>
  <si>
    <t xml:space="preserve">GPIOG</t>
  </si>
  <si>
    <t xml:space="preserve">0x40021800</t>
  </si>
  <si>
    <t xml:space="preserve">0x40021BFF</t>
  </si>
  <si>
    <t xml:space="preserve">Port G</t>
  </si>
  <si>
    <t xml:space="preserve">6 (GPIOGEN)</t>
  </si>
  <si>
    <t xml:space="preserve">GPIOF</t>
  </si>
  <si>
    <t xml:space="preserve">0x40021400</t>
  </si>
  <si>
    <t xml:space="preserve">0x400217FF</t>
  </si>
  <si>
    <t xml:space="preserve">Port F</t>
  </si>
  <si>
    <t xml:space="preserve">5 (GPIOFEN)</t>
  </si>
  <si>
    <t xml:space="preserve">GPIOE</t>
  </si>
  <si>
    <t xml:space="preserve">0x40021000</t>
  </si>
  <si>
    <t xml:space="preserve">0x400213FF</t>
  </si>
  <si>
    <t xml:space="preserve">Port E</t>
  </si>
  <si>
    <t xml:space="preserve">4 (GPIOEEN)</t>
  </si>
  <si>
    <t xml:space="preserve">GPIOD</t>
  </si>
  <si>
    <t xml:space="preserve">0x40020C00</t>
  </si>
  <si>
    <t xml:space="preserve">0x40020FFF</t>
  </si>
  <si>
    <t xml:space="preserve">Port D</t>
  </si>
  <si>
    <t xml:space="preserve">3 (GPIODEN)</t>
  </si>
  <si>
    <t xml:space="preserve">GPIOC</t>
  </si>
  <si>
    <t xml:space="preserve">0x40020800</t>
  </si>
  <si>
    <t xml:space="preserve">0x40020BFF</t>
  </si>
  <si>
    <t xml:space="preserve">Port C</t>
  </si>
  <si>
    <t xml:space="preserve">2 (GPIOCEN)</t>
  </si>
  <si>
    <t xml:space="preserve">GPIOB</t>
  </si>
  <si>
    <t xml:space="preserve">0x40020400</t>
  </si>
  <si>
    <t xml:space="preserve">0x400207FF</t>
  </si>
  <si>
    <t xml:space="preserve">Port B</t>
  </si>
  <si>
    <t xml:space="preserve">1 (GPIOBEN)</t>
  </si>
  <si>
    <t xml:space="preserve">GPIOA</t>
  </si>
  <si>
    <t xml:space="preserve">0x400203FF</t>
  </si>
  <si>
    <t xml:space="preserve">Port A</t>
  </si>
  <si>
    <t xml:space="preserve">0 (GPIOAEN)</t>
  </si>
  <si>
    <t xml:space="preserve">APB2</t>
  </si>
  <si>
    <t xml:space="preserve">TIM11</t>
  </si>
  <si>
    <t xml:space="preserve">0x40014800</t>
  </si>
  <si>
    <t xml:space="preserve">0x40014BFF</t>
  </si>
  <si>
    <t xml:space="preserve">TIM</t>
  </si>
  <si>
    <t xml:space="preserve">Timer 16-bit, 1 channel</t>
  </si>
  <si>
    <t xml:space="preserve">RCC_APB2ENR</t>
  </si>
  <si>
    <t xml:space="preserve">18 (TIM11EN)</t>
  </si>
  <si>
    <t xml:space="preserve">TIM10</t>
  </si>
  <si>
    <t xml:space="preserve">0x40014400</t>
  </si>
  <si>
    <t xml:space="preserve">0x400147FF</t>
  </si>
  <si>
    <t xml:space="preserve">17 (TIM10EN)</t>
  </si>
  <si>
    <t xml:space="preserve">TIM9</t>
  </si>
  <si>
    <t xml:space="preserve">0x40014000</t>
  </si>
  <si>
    <t xml:space="preserve">0x400143FF</t>
  </si>
  <si>
    <t xml:space="preserve">Timer 16-bit, 2 channel</t>
  </si>
  <si>
    <t xml:space="preserve">16 (TIM9EN)</t>
  </si>
  <si>
    <t xml:space="preserve">EXTI</t>
  </si>
  <si>
    <t xml:space="preserve">0x40013C00</t>
  </si>
  <si>
    <t xml:space="preserve">0x40013FFF</t>
  </si>
  <si>
    <t xml:space="preserve">External interrupt: interrupt dari pin (tombol, dll)</t>
  </si>
  <si>
    <t xml:space="preserve">- (selalu aktif, tapi butuh SYSCFG)</t>
  </si>
  <si>
    <t xml:space="preserve">SYSCFG</t>
  </si>
  <si>
    <t xml:space="preserve">0x40013800</t>
  </si>
  <si>
    <t xml:space="preserve">0x40013BFF</t>
  </si>
  <si>
    <t xml:space="preserve">Memilih port mana yang terhubung ke jalur EXTI, remap memori</t>
  </si>
  <si>
    <t xml:space="preserve">14 (SYSCFGEN)</t>
  </si>
  <si>
    <t xml:space="preserve">SPI1</t>
  </si>
  <si>
    <t xml:space="preserve">0x40013000</t>
  </si>
  <si>
    <t xml:space="preserve">0x400133FF</t>
  </si>
  <si>
    <t xml:space="preserve">SPI</t>
  </si>
  <si>
    <t xml:space="preserve">SPI 1 (sampai 42 Mbit/s)</t>
  </si>
  <si>
    <t xml:space="preserve">12 (SPI1EN)</t>
  </si>
  <si>
    <t xml:space="preserve">SDIO</t>
  </si>
  <si>
    <t xml:space="preserve">0x40012C00</t>
  </si>
  <si>
    <t xml:space="preserve">0x40012FFF</t>
  </si>
  <si>
    <t xml:space="preserve">Antarmuka kartu SD</t>
  </si>
  <si>
    <t xml:space="preserve">11 (SDIOEN)</t>
  </si>
  <si>
    <t xml:space="preserve">ADC1 - ADC2 - ADC3</t>
  </si>
  <si>
    <t xml:space="preserve">0x40012000</t>
  </si>
  <si>
    <t xml:space="preserve">0x400123FF</t>
  </si>
  <si>
    <t xml:space="preserve">ADC 12-bit (ADC1 +0x000, ADC2 +0x100, ADC3 +0x200, common +0x300)</t>
  </si>
  <si>
    <t xml:space="preserve">8/9/10 (ADC1EN/ADC2EN/ADC3EN)</t>
  </si>
  <si>
    <t xml:space="preserve">USART6</t>
  </si>
  <si>
    <t xml:space="preserve">0x40011400</t>
  </si>
  <si>
    <t xml:space="preserve">0x400117FF</t>
  </si>
  <si>
    <t xml:space="preserve">USART</t>
  </si>
  <si>
    <t xml:space="preserve">Serial USART 6</t>
  </si>
  <si>
    <t xml:space="preserve">5 (USART6EN)</t>
  </si>
  <si>
    <t xml:space="preserve">USART1</t>
  </si>
  <si>
    <t xml:space="preserve">0x40011000</t>
  </si>
  <si>
    <t xml:space="preserve">0x400113FF</t>
  </si>
  <si>
    <t xml:space="preserve">Serial USART 1</t>
  </si>
  <si>
    <t xml:space="preserve">4 (USART1EN)</t>
  </si>
  <si>
    <t xml:space="preserve">TIM8</t>
  </si>
  <si>
    <t xml:space="preserve">0x40010400</t>
  </si>
  <si>
    <t xml:space="preserve">0x400107FF</t>
  </si>
  <si>
    <t xml:space="preserve">Advanced timer 16-bit (PWM motor, complementary output)</t>
  </si>
  <si>
    <t xml:space="preserve">1 (TIM8EN)</t>
  </si>
  <si>
    <t xml:space="preserve">TIM1</t>
  </si>
  <si>
    <t xml:space="preserve">0x400103FF</t>
  </si>
  <si>
    <t xml:space="preserve">0 (TIM1EN)</t>
  </si>
  <si>
    <t xml:space="preserve">APB1</t>
  </si>
  <si>
    <t xml:space="preserve">DAC</t>
  </si>
  <si>
    <t xml:space="preserve">0x40007400</t>
  </si>
  <si>
    <t xml:space="preserve">0x400077FF</t>
  </si>
  <si>
    <t xml:space="preserve">DAC 12-bit, 2 channel (PA4, PA5)</t>
  </si>
  <si>
    <t xml:space="preserve">RCC_APB1ENR</t>
  </si>
  <si>
    <t xml:space="preserve">29 (DACEN)</t>
  </si>
  <si>
    <t xml:space="preserve">PWR</t>
  </si>
  <si>
    <t xml:space="preserve">0x40007000</t>
  </si>
  <si>
    <t xml:space="preserve">0x400073FF</t>
  </si>
  <si>
    <t xml:space="preserve">Power control: mode hemat daya, voltage scaling, akses backup domain</t>
  </si>
  <si>
    <t xml:space="preserve">28 (PWREN)</t>
  </si>
  <si>
    <t xml:space="preserve">CAN2</t>
  </si>
  <si>
    <t xml:space="preserve">0x40006800</t>
  </si>
  <si>
    <t xml:space="preserve">0x40006BFF</t>
  </si>
  <si>
    <t xml:space="preserve">CAN bus 2</t>
  </si>
  <si>
    <t xml:space="preserve">26 (CAN2EN)</t>
  </si>
  <si>
    <t xml:space="preserve">CAN1</t>
  </si>
  <si>
    <t xml:space="preserve">0x40006400</t>
  </si>
  <si>
    <t xml:space="preserve">0x400067FF</t>
  </si>
  <si>
    <t xml:space="preserve">CAN bus 1</t>
  </si>
  <si>
    <t xml:space="preserve">25 (CAN1EN)</t>
  </si>
  <si>
    <t xml:space="preserve">I2C3</t>
  </si>
  <si>
    <t xml:space="preserve">0x40005C00</t>
  </si>
  <si>
    <t xml:space="preserve">0x40005FFF</t>
  </si>
  <si>
    <t xml:space="preserve">I2C</t>
  </si>
  <si>
    <t xml:space="preserve">I2C 3</t>
  </si>
  <si>
    <t xml:space="preserve">23 (I2C3EN)</t>
  </si>
  <si>
    <t xml:space="preserve">I2C2</t>
  </si>
  <si>
    <t xml:space="preserve">0x40005800</t>
  </si>
  <si>
    <t xml:space="preserve">0x40005BFF</t>
  </si>
  <si>
    <t xml:space="preserve">I2C 2</t>
  </si>
  <si>
    <t xml:space="preserve">22 (I2C2EN)</t>
  </si>
  <si>
    <t xml:space="preserve">I2C1</t>
  </si>
  <si>
    <t xml:space="preserve">0x40005400</t>
  </si>
  <si>
    <t xml:space="preserve">0x400057FF</t>
  </si>
  <si>
    <t xml:space="preserve">I2C 1 (pilihan umum untuk sensor BME280/MPU6050)</t>
  </si>
  <si>
    <t xml:space="preserve">21 (I2C1EN)</t>
  </si>
  <si>
    <t xml:space="preserve">UART5</t>
  </si>
  <si>
    <t xml:space="preserve">0x40005000</t>
  </si>
  <si>
    <t xml:space="preserve">0x400053FF</t>
  </si>
  <si>
    <t xml:space="preserve">Serial UART 5</t>
  </si>
  <si>
    <t xml:space="preserve">20 (UART5EN)</t>
  </si>
  <si>
    <t xml:space="preserve">UART4</t>
  </si>
  <si>
    <t xml:space="preserve">0x40004C00</t>
  </si>
  <si>
    <t xml:space="preserve">0x40004FFF</t>
  </si>
  <si>
    <t xml:space="preserve">Serial UART 4</t>
  </si>
  <si>
    <t xml:space="preserve">19 (UART4EN)</t>
  </si>
  <si>
    <t xml:space="preserve">USART3</t>
  </si>
  <si>
    <t xml:space="preserve">0x40004800</t>
  </si>
  <si>
    <t xml:space="preserve">0x40004BFF</t>
  </si>
  <si>
    <t xml:space="preserve">Serial USART 3</t>
  </si>
  <si>
    <t xml:space="preserve">18 (USART3EN)</t>
  </si>
  <si>
    <t xml:space="preserve">USART2</t>
  </si>
  <si>
    <t xml:space="preserve">0x40004400</t>
  </si>
  <si>
    <t xml:space="preserve">0x400047FF</t>
  </si>
  <si>
    <t xml:space="preserve">Serial USART 2</t>
  </si>
  <si>
    <t xml:space="preserve">17 (USART2EN)</t>
  </si>
  <si>
    <t xml:space="preserve">I2S3ext</t>
  </si>
  <si>
    <t xml:space="preserve">0x40004000</t>
  </si>
  <si>
    <t xml:space="preserve">0x400043FF</t>
  </si>
  <si>
    <t xml:space="preserve">Ekstensi I2S3 untuk full-duplex</t>
  </si>
  <si>
    <t xml:space="preserve">(ikut SPI3)</t>
  </si>
  <si>
    <t xml:space="preserve">SPI3 / I2S3</t>
  </si>
  <si>
    <t xml:space="preserve">0x40003C00</t>
  </si>
  <si>
    <t xml:space="preserve">0x40003FFF</t>
  </si>
  <si>
    <t xml:space="preserve">SPI 3 / I2S 3</t>
  </si>
  <si>
    <t xml:space="preserve">15 (SPI3EN)</t>
  </si>
  <si>
    <t xml:space="preserve">SPI2 / I2S2</t>
  </si>
  <si>
    <t xml:space="preserve">0x40003800</t>
  </si>
  <si>
    <t xml:space="preserve">0x40003BFF</t>
  </si>
  <si>
    <t xml:space="preserve">SPI 2 / I2S 2</t>
  </si>
  <si>
    <t xml:space="preserve">14 (SPI2EN)</t>
  </si>
  <si>
    <t xml:space="preserve">I2S2ext</t>
  </si>
  <si>
    <t xml:space="preserve">0x40003400</t>
  </si>
  <si>
    <t xml:space="preserve">0x400037FF</t>
  </si>
  <si>
    <t xml:space="preserve">Ekstensi I2S2 untuk full-duplex</t>
  </si>
  <si>
    <t xml:space="preserve">(ikut SPI2)</t>
  </si>
  <si>
    <t xml:space="preserve">IWDG</t>
  </si>
  <si>
    <t xml:space="preserve">0x40003000</t>
  </si>
  <si>
    <t xml:space="preserve">0x400033FF</t>
  </si>
  <si>
    <t xml:space="preserve">Independent watchdog (reset otomatis kalau program macet)</t>
  </si>
  <si>
    <t xml:space="preserve">- (jalan dari LSI)</t>
  </si>
  <si>
    <t xml:space="preserve">WWDG</t>
  </si>
  <si>
    <t xml:space="preserve">0x40002C00</t>
  </si>
  <si>
    <t xml:space="preserve">0x40002FFF</t>
  </si>
  <si>
    <t xml:space="preserve">Window watchdog</t>
  </si>
  <si>
    <t xml:space="preserve">11 (WWDGEN)</t>
  </si>
  <si>
    <t xml:space="preserve">RTC &amp; BKP Registers</t>
  </si>
  <si>
    <t xml:space="preserve">0x40002800</t>
  </si>
  <si>
    <t xml:space="preserve">0x40002BFF</t>
  </si>
  <si>
    <t xml:space="preserve">Jam real-time + 20 register backup</t>
  </si>
  <si>
    <t xml:space="preserve">RCC_BDCR</t>
  </si>
  <si>
    <t xml:space="preserve">15 (RTCEN)</t>
  </si>
  <si>
    <t xml:space="preserve">TIM14</t>
  </si>
  <si>
    <t xml:space="preserve">0x40002000</t>
  </si>
  <si>
    <t xml:space="preserve">0x400023FF</t>
  </si>
  <si>
    <t xml:space="preserve">8 (TIM14EN)</t>
  </si>
  <si>
    <t xml:space="preserve">TIM13</t>
  </si>
  <si>
    <t xml:space="preserve">0x40001C00</t>
  </si>
  <si>
    <t xml:space="preserve">0x40001FFF</t>
  </si>
  <si>
    <t xml:space="preserve">7 (TIM13EN)</t>
  </si>
  <si>
    <t xml:space="preserve">TIM12</t>
  </si>
  <si>
    <t xml:space="preserve">0x40001800</t>
  </si>
  <si>
    <t xml:space="preserve">0x40001BFF</t>
  </si>
  <si>
    <t xml:space="preserve">6 (TIM12EN)</t>
  </si>
  <si>
    <t xml:space="preserve">TIM7</t>
  </si>
  <si>
    <t xml:space="preserve">0x40001400</t>
  </si>
  <si>
    <t xml:space="preserve">0x400017FF</t>
  </si>
  <si>
    <t xml:space="preserve">Basic timer (tanpa pin output, cocok untuk tick / trigger DAC)</t>
  </si>
  <si>
    <t xml:space="preserve">5 (TIM7EN)</t>
  </si>
  <si>
    <t xml:space="preserve">TIM6</t>
  </si>
  <si>
    <t xml:space="preserve">0x40001000</t>
  </si>
  <si>
    <t xml:space="preserve">0x400013FF</t>
  </si>
  <si>
    <t xml:space="preserve">4 (TIM6EN)</t>
  </si>
  <si>
    <t xml:space="preserve">TIM5</t>
  </si>
  <si>
    <t xml:space="preserve">0x40000C00</t>
  </si>
  <si>
    <t xml:space="preserve">0x40000FFF</t>
  </si>
  <si>
    <t xml:space="preserve">General-purpose timer 32-bit, 4 channel</t>
  </si>
  <si>
    <t xml:space="preserve">3 (TIM5EN)</t>
  </si>
  <si>
    <t xml:space="preserve">TIM4</t>
  </si>
  <si>
    <t xml:space="preserve">0x40000800</t>
  </si>
  <si>
    <t xml:space="preserve">0x40000BFF</t>
  </si>
  <si>
    <t xml:space="preserve">General-purpose timer 16-bit, 4 channel</t>
  </si>
  <si>
    <t xml:space="preserve">2 (TIM4EN)</t>
  </si>
  <si>
    <t xml:space="preserve">TIM3</t>
  </si>
  <si>
    <t xml:space="preserve">0x40000400</t>
  </si>
  <si>
    <t xml:space="preserve">0x400007FF</t>
  </si>
  <si>
    <t xml:space="preserve">1 (TIM3EN)</t>
  </si>
  <si>
    <t xml:space="preserve">TIM2</t>
  </si>
  <si>
    <t xml:space="preserve">0x400003FF</t>
  </si>
  <si>
    <t xml:space="preserve">0 (TIM2EN)</t>
  </si>
  <si>
    <t xml:space="preserve">Offset &amp; Bit Register</t>
  </si>
  <si>
    <t xml:space="preserve">Alamat register = base peripheral + offset. Sumber: RM0090 (STM32F4) dan ARM Cortex-M4 Generic User Guide. Akses: r = baca, w = tulis, rw = baca-tulis, rc_w0/rc_w1 = hapus dengan menulis 0/1.</t>
  </si>
  <si>
    <t xml:space="preserve">Kelompok</t>
  </si>
  <si>
    <t xml:space="preserve">Offset</t>
  </si>
  <si>
    <t xml:space="preserve">Akses</t>
  </si>
  <si>
    <t xml:space="preserve">Nilai reset</t>
  </si>
  <si>
    <t xml:space="preserve">Bit penting</t>
  </si>
  <si>
    <t xml:space="preserve">Kunci (untuk kalkulator)</t>
  </si>
  <si>
    <t xml:space="preserve">CR</t>
  </si>
  <si>
    <t xml:space="preserve">0x00</t>
  </si>
  <si>
    <t xml:space="preserve">rw</t>
  </si>
  <si>
    <t xml:space="preserve">0x0000XX83</t>
  </si>
  <si>
    <t xml:space="preserve">Nyalakan/cek osilator HSI, HSE, PLL</t>
  </si>
  <si>
    <t xml:space="preserve">HSION b0, HSIRDY b1, HSEON b16, HSERDY b17, PLLON b24, PLLRDY b25</t>
  </si>
  <si>
    <t xml:space="preserve">RCC|CR</t>
  </si>
  <si>
    <t xml:space="preserve">PLLCFGR</t>
  </si>
  <si>
    <t xml:space="preserve">0x04</t>
  </si>
  <si>
    <t xml:space="preserve">0x24003010</t>
  </si>
  <si>
    <t xml:space="preserve">Konfigurasi PLL (M, N, P, Q, sumber)</t>
  </si>
  <si>
    <t xml:space="preserve">PLLM b0-5, PLLN b6-14, PLLP b16-17, PLLSRC b22, PLLQ b24-27</t>
  </si>
  <si>
    <t xml:space="preserve">RCC|PLLCFGR</t>
  </si>
  <si>
    <t xml:space="preserve">CFGR</t>
  </si>
  <si>
    <t xml:space="preserve">0x08</t>
  </si>
  <si>
    <t xml:space="preserve">Pilih sumber SYSCLK dan pembagi bus AHB/APB1/APB2</t>
  </si>
  <si>
    <t xml:space="preserve">SW b0-1, SWS b2-3, HPRE b4-7, PPRE1 b10-12, PPRE2 b13-15</t>
  </si>
  <si>
    <t xml:space="preserve">RCC|CFGR</t>
  </si>
  <si>
    <t xml:space="preserve">CIR</t>
  </si>
  <si>
    <t xml:space="preserve">0x0C</t>
  </si>
  <si>
    <t xml:space="preserve">Interrupt dari clock (ready flags)</t>
  </si>
  <si>
    <t xml:space="preserve">RCC|CIR</t>
  </si>
  <si>
    <t xml:space="preserve">AHB1RSTR</t>
  </si>
  <si>
    <t xml:space="preserve">0x10</t>
  </si>
  <si>
    <t xml:space="preserve">Reset peripheral AHB1 (GPIO, DMA, ...)</t>
  </si>
  <si>
    <t xml:space="preserve">Posisi bit sama dengan AHB1ENR</t>
  </si>
  <si>
    <t xml:space="preserve">RCC|AHB1RSTR</t>
  </si>
  <si>
    <t xml:space="preserve">AHB2RSTR</t>
  </si>
  <si>
    <t xml:space="preserve">0x14</t>
  </si>
  <si>
    <t xml:space="preserve">Reset peripheral AHB2</t>
  </si>
  <si>
    <t xml:space="preserve">RCC|AHB2RSTR</t>
  </si>
  <si>
    <t xml:space="preserve">AHB3RSTR</t>
  </si>
  <si>
    <t xml:space="preserve">0x18</t>
  </si>
  <si>
    <t xml:space="preserve">Reset FSMC</t>
  </si>
  <si>
    <t xml:space="preserve">RCC|AHB3RSTR</t>
  </si>
  <si>
    <t xml:space="preserve">APB1RSTR</t>
  </si>
  <si>
    <t xml:space="preserve">0x20</t>
  </si>
  <si>
    <t xml:space="preserve">Reset peripheral APB1</t>
  </si>
  <si>
    <t xml:space="preserve">Posisi bit sama dengan APB1ENR</t>
  </si>
  <si>
    <t xml:space="preserve">RCC|APB1RSTR</t>
  </si>
  <si>
    <t xml:space="preserve">APB2RSTR</t>
  </si>
  <si>
    <t xml:space="preserve">0x24</t>
  </si>
  <si>
    <t xml:space="preserve">Reset peripheral APB2</t>
  </si>
  <si>
    <t xml:space="preserve">Posisi bit sama dengan APB2ENR</t>
  </si>
  <si>
    <t xml:space="preserve">RCC|APB2RSTR</t>
  </si>
  <si>
    <t xml:space="preserve">AHB1ENR</t>
  </si>
  <si>
    <t xml:space="preserve">0x30</t>
  </si>
  <si>
    <t xml:space="preserve">0x00100000</t>
  </si>
  <si>
    <t xml:space="preserve">ENABLE CLOCK GPIO, DMA, CRC, dll. Wajib sebelum memakai GPIO!</t>
  </si>
  <si>
    <t xml:space="preserve">GPIOAEN b0 ... GPIOIEN b8, CRCEN b12, BKPSRAMEN b18, CCMDATARAMEN b20 (reset = 1), DMA1EN b21, DMA2EN b22</t>
  </si>
  <si>
    <t xml:space="preserve">RCC|AHB1ENR</t>
  </si>
  <si>
    <t xml:space="preserve">AHB2ENR</t>
  </si>
  <si>
    <t xml:space="preserve">0x34</t>
  </si>
  <si>
    <t xml:space="preserve">Enable clock DCMI, RNG, USB OTG FS</t>
  </si>
  <si>
    <t xml:space="preserve">DCMIEN b0, RNGEN b6, OTGFSEN b7</t>
  </si>
  <si>
    <t xml:space="preserve">RCC|AHB2ENR</t>
  </si>
  <si>
    <t xml:space="preserve">AHB3ENR</t>
  </si>
  <si>
    <t xml:space="preserve">0x38</t>
  </si>
  <si>
    <t xml:space="preserve">Enable clock FSMC</t>
  </si>
  <si>
    <t xml:space="preserve">FSMCEN b0</t>
  </si>
  <si>
    <t xml:space="preserve">RCC|AHB3ENR</t>
  </si>
  <si>
    <t xml:space="preserve">APB1ENR</t>
  </si>
  <si>
    <t xml:space="preserve">0x40</t>
  </si>
  <si>
    <t xml:space="preserve">Enable clock TIM2-7/12-14, USART2/3, UART4/5, I2C, SPI2/3, CAN, PWR, DAC</t>
  </si>
  <si>
    <t xml:space="preserve">Lihat kolom Bit enable di sheet Peripheral</t>
  </si>
  <si>
    <t xml:space="preserve">RCC|APB1ENR</t>
  </si>
  <si>
    <t xml:space="preserve">APB2ENR</t>
  </si>
  <si>
    <t xml:space="preserve">0x44</t>
  </si>
  <si>
    <t xml:space="preserve">Enable clock TIM1/8/9/10/11, USART1/6, ADC, SPI1, SYSCFG</t>
  </si>
  <si>
    <t xml:space="preserve">RCC|APB2ENR</t>
  </si>
  <si>
    <t xml:space="preserve">AHB1LPENR</t>
  </si>
  <si>
    <t xml:space="preserve">0x50</t>
  </si>
  <si>
    <t xml:space="preserve">0x7E6791FF</t>
  </si>
  <si>
    <t xml:space="preserve">Clock peripheral saat mode Sleep</t>
  </si>
  <si>
    <t xml:space="preserve">RCC|AHB1LPENR</t>
  </si>
  <si>
    <t xml:space="preserve">BDCR</t>
  </si>
  <si>
    <t xml:space="preserve">0x70</t>
  </si>
  <si>
    <t xml:space="preserve">Backup domain: LSE dan RTC</t>
  </si>
  <si>
    <t xml:space="preserve">LSEON b0, LSERDY b1, RTCSEL b8-9, RTCEN b15, BDRST b16</t>
  </si>
  <si>
    <t xml:space="preserve">RCC|BDCR</t>
  </si>
  <si>
    <t xml:space="preserve">CSR</t>
  </si>
  <si>
    <t xml:space="preserve">0x74</t>
  </si>
  <si>
    <t xml:space="preserve">0x0E000000</t>
  </si>
  <si>
    <t xml:space="preserve">LSI + flag penyebab reset terakhir</t>
  </si>
  <si>
    <t xml:space="preserve">LSION b0, LSIRDY b1, RMVF b24, PINRSTF b26, PORRSTF b27, IWDGRSTF b29</t>
  </si>
  <si>
    <t xml:space="preserve">RCC|CSR</t>
  </si>
  <si>
    <t xml:space="preserve">PLLI2SCFGR</t>
  </si>
  <si>
    <t xml:space="preserve">0x84</t>
  </si>
  <si>
    <t xml:space="preserve">0x20003000</t>
  </si>
  <si>
    <t xml:space="preserve">PLL khusus audio I2S</t>
  </si>
  <si>
    <t xml:space="preserve">RCC|PLLI2SCFGR</t>
  </si>
  <si>
    <t xml:space="preserve">MODER</t>
  </si>
  <si>
    <t xml:space="preserve">A: 0xA8000000 | B: 0x00000280 | lain: 0x00000000</t>
  </si>
  <si>
    <t xml:space="preserve">Mode pin. 2 bit per pin (pin n di bit 2n dan 2n+1)</t>
  </si>
  <si>
    <t xml:space="preserve">00 = input, 01 = output, 10 = alternate function, 11 = analog</t>
  </si>
  <si>
    <t xml:space="preserve">GPIO|MODER</t>
  </si>
  <si>
    <t xml:space="preserve">OTYPER</t>
  </si>
  <si>
    <t xml:space="preserve">Tipe output. 1 bit per pin (bit 0-15)</t>
  </si>
  <si>
    <t xml:space="preserve">0 = push-pull, 1 = open-drain</t>
  </si>
  <si>
    <t xml:space="preserve">GPIO|OTYPER</t>
  </si>
  <si>
    <t xml:space="preserve">OSPEEDR</t>
  </si>
  <si>
    <t xml:space="preserve">A: 0x0C000000 | B: 0x000000C0 | lain: 0x00000000</t>
  </si>
  <si>
    <t xml:space="preserve">Kecepatan output. 2 bit per pin</t>
  </si>
  <si>
    <t xml:space="preserve">00 = low, 01 = medium, 10 = high, 11 = very high</t>
  </si>
  <si>
    <t xml:space="preserve">GPIO|OSPEEDR</t>
  </si>
  <si>
    <t xml:space="preserve">PUPDR</t>
  </si>
  <si>
    <t xml:space="preserve">A: 0x64000000 | B: 0x00000100 | lain: 0x00000000</t>
  </si>
  <si>
    <t xml:space="preserve">Resistor pull-up / pull-down internal. 2 bit per pin</t>
  </si>
  <si>
    <t xml:space="preserve">00 = tidak ada, 01 = pull-up, 10 = pull-down</t>
  </si>
  <si>
    <t xml:space="preserve">GPIO|PUPDR</t>
  </si>
  <si>
    <t xml:space="preserve">IDR</t>
  </si>
  <si>
    <t xml:space="preserve">r</t>
  </si>
  <si>
    <t xml:space="preserve">0x0000XXXX</t>
  </si>
  <si>
    <t xml:space="preserve">Membaca level pin (input). 1 bit per pin, hanya baca</t>
  </si>
  <si>
    <t xml:space="preserve">1 = HIGH, 0 = LOW</t>
  </si>
  <si>
    <t xml:space="preserve">GPIO|IDR</t>
  </si>
  <si>
    <t xml:space="preserve">ODR</t>
  </si>
  <si>
    <t xml:space="preserve">Menulis level output. 1 bit per pin</t>
  </si>
  <si>
    <t xml:space="preserve">Read-modify-write: hati-hati kalau diubah juga oleh interrupt</t>
  </si>
  <si>
    <t xml:space="preserve">GPIO|ODR</t>
  </si>
  <si>
    <t xml:space="preserve">BSRR</t>
  </si>
  <si>
    <t xml:space="preserve">w</t>
  </si>
  <si>
    <t xml:space="preserve">Set/reset pin secara atomik (tanpa read-modify-write)</t>
  </si>
  <si>
    <t xml:space="preserve">bit 0-15 = SET pin 0-15 (HIGH), bit 16-31 = RESET pin 0-15 (LOW). Tulis 0 tidak berefek</t>
  </si>
  <si>
    <t xml:space="preserve">GPIO|BSRR</t>
  </si>
  <si>
    <t xml:space="preserve">LCKR</t>
  </si>
  <si>
    <t xml:space="preserve">0x1C</t>
  </si>
  <si>
    <t xml:space="preserve">Mengunci konfigurasi pin sampai reset</t>
  </si>
  <si>
    <t xml:space="preserve">LCKK b16 + urutan tulis khusus</t>
  </si>
  <si>
    <t xml:space="preserve">GPIO|LCKR</t>
  </si>
  <si>
    <t xml:space="preserve">AFRL</t>
  </si>
  <si>
    <t xml:space="preserve">Pilih alternate function pin 0-7. 4 bit per pin</t>
  </si>
  <si>
    <t xml:space="preserve">Pin n di bit 4n..4n+3, nilai 0-15 = AF0-AF15 (lihat sheet Alternate Function)</t>
  </si>
  <si>
    <t xml:space="preserve">GPIO|AFRL</t>
  </si>
  <si>
    <t xml:space="preserve">AFRH</t>
  </si>
  <si>
    <t xml:space="preserve">Pilih alternate function pin 8-15. 4 bit per pin</t>
  </si>
  <si>
    <t xml:space="preserve">Pin n di bit 4(n-8)..4(n-8)+3</t>
  </si>
  <si>
    <t xml:space="preserve">GPIO|AFRH</t>
  </si>
  <si>
    <t xml:space="preserve">CR1</t>
  </si>
  <si>
    <t xml:space="preserve">0x0000</t>
  </si>
  <si>
    <t xml:space="preserve">Kontrol utama timer</t>
  </si>
  <si>
    <t xml:space="preserve">CEN b0 (jalankan timer), UDIS b1, URS b2, OPM b3, DIR b4, ARPE b7 (preload ARR)</t>
  </si>
  <si>
    <t xml:space="preserve">TIM|CR1</t>
  </si>
  <si>
    <t xml:space="preserve">CR2</t>
  </si>
  <si>
    <t xml:space="preserve">Mode master/trigger output</t>
  </si>
  <si>
    <t xml:space="preserve">MMS b4-6</t>
  </si>
  <si>
    <t xml:space="preserve">TIM|CR2</t>
  </si>
  <si>
    <t xml:space="preserve">SMCR</t>
  </si>
  <si>
    <t xml:space="preserve">Mode slave (dipicu timer lain / sinyal luar)</t>
  </si>
  <si>
    <t xml:space="preserve">Tidak ada di TIM6/7</t>
  </si>
  <si>
    <t xml:space="preserve">TIM|SMCR</t>
  </si>
  <si>
    <t xml:space="preserve">DIER</t>
  </si>
  <si>
    <t xml:space="preserve">Enable interrupt / DMA timer</t>
  </si>
  <si>
    <t xml:space="preserve">UIE b0 (interrupt update/overflow), CC1IE b1 ... CC4IE b4, UDE b8</t>
  </si>
  <si>
    <t xml:space="preserve">TIM|DIER</t>
  </si>
  <si>
    <t xml:space="preserve">SR</t>
  </si>
  <si>
    <t xml:space="preserve">rc_w0</t>
  </si>
  <si>
    <t xml:space="preserve">Flag status (tulis 0 untuk menghapus)</t>
  </si>
  <si>
    <t xml:space="preserve">UIF b0 (overflow terjadi), CC1IF b1 ... CC4IF b4</t>
  </si>
  <si>
    <t xml:space="preserve">TIM|SR</t>
  </si>
  <si>
    <t xml:space="preserve">EGR</t>
  </si>
  <si>
    <t xml:space="preserve">Membangkitkan event secara software</t>
  </si>
  <si>
    <t xml:space="preserve">UG b0: muat ulang PSC/ARR seketika</t>
  </si>
  <si>
    <t xml:space="preserve">TIM|EGR</t>
  </si>
  <si>
    <t xml:space="preserve">CCMR1</t>
  </si>
  <si>
    <t xml:space="preserve">Mode channel 1 dan 2 (output compare / PWM / input capture)</t>
  </si>
  <si>
    <t xml:space="preserve">CH1: OC1PE b3, OC1M b4-6. CH2: OC2PE b11, OC2M b12-14. PWM mode 1 = 110</t>
  </si>
  <si>
    <t xml:space="preserve">TIM|CCMR1</t>
  </si>
  <si>
    <t xml:space="preserve">CCMR2</t>
  </si>
  <si>
    <t xml:space="preserve">Mode channel 3 dan 4</t>
  </si>
  <si>
    <t xml:space="preserve">CH3: OC3PE b3, OC3M b4-6. CH4: OC4PE b11, OC4M b12-14</t>
  </si>
  <si>
    <t xml:space="preserve">TIM|CCMR2</t>
  </si>
  <si>
    <t xml:space="preserve">CCER</t>
  </si>
  <si>
    <t xml:space="preserve">Enable output channel &amp; polaritas</t>
  </si>
  <si>
    <t xml:space="preserve">CC1E b0, CC1P b1, CC2E b4, CC2P b5, CC3E b8, CC3P b9, CC4E b12, CC4P b13 (P = 1 membalik polaritas, berguna untuk LED common anode)</t>
  </si>
  <si>
    <t xml:space="preserve">TIM|CCER</t>
  </si>
  <si>
    <t xml:space="preserve">CNT</t>
  </si>
  <si>
    <t xml:space="preserve">Nilai counter saat ini</t>
  </si>
  <si>
    <t xml:space="preserve">16-bit (32-bit di TIM2/TIM5)</t>
  </si>
  <si>
    <t xml:space="preserve">TIM|CNT</t>
  </si>
  <si>
    <t xml:space="preserve">PSC</t>
  </si>
  <si>
    <t xml:space="preserve">0x28</t>
  </si>
  <si>
    <t xml:space="preserve">Prescaler. Clock counter = clock timer / (PSC + 1)</t>
  </si>
  <si>
    <t xml:space="preserve">TIM|PSC</t>
  </si>
  <si>
    <t xml:space="preserve">ARR</t>
  </si>
  <si>
    <t xml:space="preserve">0x2C</t>
  </si>
  <si>
    <t xml:space="preserve">0xFFFF</t>
  </si>
  <si>
    <t xml:space="preserve">Auto-reload: batas atas counter. Frekuensi = clock counter / (ARR + 1)</t>
  </si>
  <si>
    <t xml:space="preserve">TIM|ARR</t>
  </si>
  <si>
    <t xml:space="preserve">RCR</t>
  </si>
  <si>
    <t xml:space="preserve">Repetition counter</t>
  </si>
  <si>
    <t xml:space="preserve">Hanya TIM1 dan TIM8</t>
  </si>
  <si>
    <t xml:space="preserve">TIM|RCR</t>
  </si>
  <si>
    <t xml:space="preserve">CCR1</t>
  </si>
  <si>
    <t xml:space="preserve">Nilai compare channel 1 (duty cycle PWM)</t>
  </si>
  <si>
    <t xml:space="preserve">duty = CCR1 / (ARR + 1)</t>
  </si>
  <si>
    <t xml:space="preserve">TIM|CCR1</t>
  </si>
  <si>
    <t xml:space="preserve">CCR2</t>
  </si>
  <si>
    <t xml:space="preserve">Nilai compare channel 2</t>
  </si>
  <si>
    <t xml:space="preserve">TIM|CCR2</t>
  </si>
  <si>
    <t xml:space="preserve">CCR3</t>
  </si>
  <si>
    <t xml:space="preserve">0x3C</t>
  </si>
  <si>
    <t xml:space="preserve">Nilai compare channel 3</t>
  </si>
  <si>
    <t xml:space="preserve">TIM|CCR3</t>
  </si>
  <si>
    <t xml:space="preserve">CCR4</t>
  </si>
  <si>
    <t xml:space="preserve">Nilai compare channel 4</t>
  </si>
  <si>
    <t xml:space="preserve">TIM|CCR4</t>
  </si>
  <si>
    <t xml:space="preserve">BDTR</t>
  </si>
  <si>
    <t xml:space="preserve">Break &amp; dead-time</t>
  </si>
  <si>
    <t xml:space="preserve">Hanya TIM1/TIM8. MOE b15 WAJIB di-set agar output TIM1/8 keluar</t>
  </si>
  <si>
    <t xml:space="preserve">TIM|BDTR</t>
  </si>
  <si>
    <t xml:space="preserve">DCR</t>
  </si>
  <si>
    <t xml:space="preserve">0x48</t>
  </si>
  <si>
    <t xml:space="preserve">DMA control</t>
  </si>
  <si>
    <t xml:space="preserve">TIM|DCR</t>
  </si>
  <si>
    <t xml:space="preserve">DMAR</t>
  </si>
  <si>
    <t xml:space="preserve">0x4C</t>
  </si>
  <si>
    <t xml:space="preserve">DMA burst address</t>
  </si>
  <si>
    <t xml:space="preserve">TIM|DMAR</t>
  </si>
  <si>
    <t xml:space="preserve">0x00C0</t>
  </si>
  <si>
    <t xml:space="preserve">Status</t>
  </si>
  <si>
    <t xml:space="preserve">RXNE b5 (ada data masuk), TC b6 (kirim selesai), TXE b7 (siap kirim byte berikut)</t>
  </si>
  <si>
    <t xml:space="preserve">USART|SR</t>
  </si>
  <si>
    <t xml:space="preserve">DR</t>
  </si>
  <si>
    <t xml:space="preserve">Data kirim/terima (9 bit bawah)</t>
  </si>
  <si>
    <t xml:space="preserve">Tulis = kirim, baca = terima</t>
  </si>
  <si>
    <t xml:space="preserve">USART|DR</t>
  </si>
  <si>
    <t xml:space="preserve">BRR</t>
  </si>
  <si>
    <t xml:space="preserve">Baudrate. Pembagi = clock APB / baud (oversampling 16)</t>
  </si>
  <si>
    <t xml:space="preserve">DIV_Fraction b0-3, DIV_Mantissa b4-15</t>
  </si>
  <si>
    <t xml:space="preserve">USART|BRR</t>
  </si>
  <si>
    <t xml:space="preserve">Kontrol utama</t>
  </si>
  <si>
    <t xml:space="preserve">RE b2, TE b3, RXNEIE b5, TCIE b6, TXEIE b7, UE b13 (enable USART), OVER8 b15</t>
  </si>
  <si>
    <t xml:space="preserve">USART|CR1</t>
  </si>
  <si>
    <t xml:space="preserve">Stop bit, mode clock</t>
  </si>
  <si>
    <t xml:space="preserve">STOP b12-13</t>
  </si>
  <si>
    <t xml:space="preserve">USART|CR2</t>
  </si>
  <si>
    <t xml:space="preserve">CR3</t>
  </si>
  <si>
    <t xml:space="preserve">DMA, flow control</t>
  </si>
  <si>
    <t xml:space="preserve">DMAR b6, DMAT b7, RTSE b8, CTSE b9</t>
  </si>
  <si>
    <t xml:space="preserve">USART|CR3</t>
  </si>
  <si>
    <t xml:space="preserve">GTPR</t>
  </si>
  <si>
    <t xml:space="preserve">Guard time &amp; prescaler (smartcard/IrDA)</t>
  </si>
  <si>
    <t xml:space="preserve">USART|GTPR</t>
  </si>
  <si>
    <t xml:space="preserve">IMR</t>
  </si>
  <si>
    <t xml:space="preserve">Unmask interrupt jalur EXTI 0-22</t>
  </si>
  <si>
    <t xml:space="preserve">bit n = jalur n</t>
  </si>
  <si>
    <t xml:space="preserve">EXTI|IMR</t>
  </si>
  <si>
    <t xml:space="preserve">EMR</t>
  </si>
  <si>
    <t xml:space="preserve">Unmask event</t>
  </si>
  <si>
    <t xml:space="preserve">EXTI|EMR</t>
  </si>
  <si>
    <t xml:space="preserve">RTSR</t>
  </si>
  <si>
    <t xml:space="preserve">Picu pada tepi naik</t>
  </si>
  <si>
    <t xml:space="preserve">EXTI|RTSR</t>
  </si>
  <si>
    <t xml:space="preserve">FTSR</t>
  </si>
  <si>
    <t xml:space="preserve">Picu pada tepi turun (tombol ke GND)</t>
  </si>
  <si>
    <t xml:space="preserve">EXTI|FTSR</t>
  </si>
  <si>
    <t xml:space="preserve">SWIER</t>
  </si>
  <si>
    <t xml:space="preserve">Picu interrupt lewat software</t>
  </si>
  <si>
    <t xml:space="preserve">EXTI|SWIER</t>
  </si>
  <si>
    <t xml:space="preserve">PR</t>
  </si>
  <si>
    <t xml:space="preserve">rc_w1</t>
  </si>
  <si>
    <t xml:space="preserve">undefined</t>
  </si>
  <si>
    <t xml:space="preserve">Flag pending. Hapus dengan MENULIS 1</t>
  </si>
  <si>
    <t xml:space="preserve">EXTI|PR</t>
  </si>
  <si>
    <t xml:space="preserve">MEMRMP</t>
  </si>
  <si>
    <t xml:space="preserve">0x0000000X</t>
  </si>
  <si>
    <t xml:space="preserve">Remap memori di alamat 0x00000000</t>
  </si>
  <si>
    <t xml:space="preserve">SYSCFG|MEMRMP</t>
  </si>
  <si>
    <t xml:space="preserve">PMC</t>
  </si>
  <si>
    <t xml:space="preserve">Pilihan MII/RMII Ethernet</t>
  </si>
  <si>
    <t xml:space="preserve">SYSCFG|PMC</t>
  </si>
  <si>
    <t xml:space="preserve">EXTICR1</t>
  </si>
  <si>
    <t xml:space="preserve">Pilih port untuk EXTI0-3 (4 bit per jalur)</t>
  </si>
  <si>
    <t xml:space="preserve">0 = PA, 1 = PB, 2 = PC, 3 = PD, 4 = PE, 5 = PF, 6 = PG, 7 = PH, 8 = PI</t>
  </si>
  <si>
    <t xml:space="preserve">SYSCFG|EXTICR1</t>
  </si>
  <si>
    <t xml:space="preserve">EXTICR2</t>
  </si>
  <si>
    <t xml:space="preserve">Pilih port untuk EXTI4-7</t>
  </si>
  <si>
    <t xml:space="preserve">sama seperti EXTICR1</t>
  </si>
  <si>
    <t xml:space="preserve">SYSCFG|EXTICR2</t>
  </si>
  <si>
    <t xml:space="preserve">EXTICR3</t>
  </si>
  <si>
    <t xml:space="preserve">Pilih port untuk EXTI8-11</t>
  </si>
  <si>
    <t xml:space="preserve">SYSCFG|EXTICR3</t>
  </si>
  <si>
    <t xml:space="preserve">EXTICR4</t>
  </si>
  <si>
    <t xml:space="preserve">Pilih port untuk EXTI12-15</t>
  </si>
  <si>
    <t xml:space="preserve">SYSCFG|EXTICR4</t>
  </si>
  <si>
    <t xml:space="preserve">CMPCR</t>
  </si>
  <si>
    <t xml:space="preserve">Compensation cell I/O</t>
  </si>
  <si>
    <t xml:space="preserve">SYSCFG|CMPCR</t>
  </si>
  <si>
    <t xml:space="preserve">PE b0, START b8, STOP b9, ACK b10, SWRST b15</t>
  </si>
  <si>
    <t xml:space="preserve">I2C|CR1</t>
  </si>
  <si>
    <t xml:space="preserve">Frekuensi clock APB1 (MHz) &amp; interrupt</t>
  </si>
  <si>
    <t xml:space="preserve">FREQ b0-5, ITERREN b8, ITEVTEN b9, ITBUFEN b10</t>
  </si>
  <si>
    <t xml:space="preserve">I2C|CR2</t>
  </si>
  <si>
    <t xml:space="preserve">OAR1</t>
  </si>
  <si>
    <t xml:space="preserve">Alamat sendiri (mode slave)</t>
  </si>
  <si>
    <t xml:space="preserve">I2C|OAR1</t>
  </si>
  <si>
    <t xml:space="preserve">OAR2</t>
  </si>
  <si>
    <t xml:space="preserve">Alamat kedua</t>
  </si>
  <si>
    <t xml:space="preserve">I2C|OAR2</t>
  </si>
  <si>
    <t xml:space="preserve">Data</t>
  </si>
  <si>
    <t xml:space="preserve">I2C|DR</t>
  </si>
  <si>
    <t xml:space="preserve">SR1</t>
  </si>
  <si>
    <t xml:space="preserve">Status 1</t>
  </si>
  <si>
    <t xml:space="preserve">SB b0, ADDR b1, BTF b2, RXNE b6, TXE b7, AF b10</t>
  </si>
  <si>
    <t xml:space="preserve">I2C|SR1</t>
  </si>
  <si>
    <t xml:space="preserve">SR2</t>
  </si>
  <si>
    <t xml:space="preserve">Status 2 (baca SR1 lalu SR2 untuk clear ADDR)</t>
  </si>
  <si>
    <t xml:space="preserve">MSL b0, BUSY b1</t>
  </si>
  <si>
    <t xml:space="preserve">I2C|SR2</t>
  </si>
  <si>
    <t xml:space="preserve">CCR</t>
  </si>
  <si>
    <t xml:space="preserve">Clock control (kecepatan SCL)</t>
  </si>
  <si>
    <t xml:space="preserve">CCR b0-11, DUTY b14, F/S b15</t>
  </si>
  <si>
    <t xml:space="preserve">I2C|CCR</t>
  </si>
  <si>
    <t xml:space="preserve">TRISE</t>
  </si>
  <si>
    <t xml:space="preserve">0x0002</t>
  </si>
  <si>
    <t xml:space="preserve">Rise time maksimum</t>
  </si>
  <si>
    <t xml:space="preserve">I2C|TRISE</t>
  </si>
  <si>
    <t xml:space="preserve">FLTR</t>
  </si>
  <si>
    <t xml:space="preserve">Filter noise</t>
  </si>
  <si>
    <t xml:space="preserve">I2C|FLTR</t>
  </si>
  <si>
    <t xml:space="preserve">CPHA b0, CPOL b1, MSTR b2, BR b3-5, SPE b6, LSBFIRST b7, SSI b8, SSM b9, DFF b11</t>
  </si>
  <si>
    <t xml:space="preserve">SPI|CR1</t>
  </si>
  <si>
    <t xml:space="preserve">Interrupt &amp; DMA</t>
  </si>
  <si>
    <t xml:space="preserve">RXDMAEN b0, TXDMAEN b1, SSOE b2, RXNEIE b6, TXEIE b7</t>
  </si>
  <si>
    <t xml:space="preserve">SPI|CR2</t>
  </si>
  <si>
    <t xml:space="preserve">RXNE b0, TXE b1, BSY b7</t>
  </si>
  <si>
    <t xml:space="preserve">SPI|SR</t>
  </si>
  <si>
    <t xml:space="preserve">SPI|DR</t>
  </si>
  <si>
    <t xml:space="preserve">CRCPR</t>
  </si>
  <si>
    <t xml:space="preserve">0x0007</t>
  </si>
  <si>
    <t xml:space="preserve">Polinomial CRC</t>
  </si>
  <si>
    <t xml:space="preserve">SPI|CRCPR</t>
  </si>
  <si>
    <t xml:space="preserve">I2SCFGR</t>
  </si>
  <si>
    <t xml:space="preserve">Konfigurasi mode I2S</t>
  </si>
  <si>
    <t xml:space="preserve">SPI|I2SCFGR</t>
  </si>
  <si>
    <t xml:space="preserve">I2SPR</t>
  </si>
  <si>
    <t xml:space="preserve">Prescaler I2S</t>
  </si>
  <si>
    <t xml:space="preserve">SPI|I2SPR</t>
  </si>
  <si>
    <t xml:space="preserve">ACR</t>
  </si>
  <si>
    <t xml:space="preserve">Wait state flash + cache. WAJIB dinaikkan sebelum SYSCLK &gt; 30 MHz</t>
  </si>
  <si>
    <t xml:space="preserve">LATENCY b0-2, PRFTEN b8, ICEN b9, DCEN b10</t>
  </si>
  <si>
    <t xml:space="preserve">FLASH|ACR</t>
  </si>
  <si>
    <t xml:space="preserve">KEYR</t>
  </si>
  <si>
    <t xml:space="preserve">Kunci untuk membuka akses tulis flash</t>
  </si>
  <si>
    <t xml:space="preserve">FLASH|KEYR</t>
  </si>
  <si>
    <t xml:space="preserve">OPTKEYR</t>
  </si>
  <si>
    <t xml:space="preserve">Kunci option bytes</t>
  </si>
  <si>
    <t xml:space="preserve">FLASH|OPTKEYR</t>
  </si>
  <si>
    <t xml:space="preserve">Status operasi flash</t>
  </si>
  <si>
    <t xml:space="preserve">BSY b16</t>
  </si>
  <si>
    <t xml:space="preserve">FLASH|SR</t>
  </si>
  <si>
    <t xml:space="preserve">Perintah tulis/hapus flash</t>
  </si>
  <si>
    <t xml:space="preserve">PG b0, SER b1, SNB b3-6, STRT b16, LOCK b31</t>
  </si>
  <si>
    <t xml:space="preserve">FLASH|CR</t>
  </si>
  <si>
    <t xml:space="preserve">OPTCR</t>
  </si>
  <si>
    <t xml:space="preserve">0x0FFFAAED</t>
  </si>
  <si>
    <t xml:space="preserve">Option bytes (proteksi, BOR)</t>
  </si>
  <si>
    <t xml:space="preserve">FLASH|OPTCR</t>
  </si>
  <si>
    <t xml:space="preserve">0x0000C000</t>
  </si>
  <si>
    <t xml:space="preserve">Mode hemat daya, akses backup domain, voltage scaling</t>
  </si>
  <si>
    <t xml:space="preserve">LPDS b0, PDDS b1, DBP b8, VOS b14</t>
  </si>
  <si>
    <t xml:space="preserve">PWR|CR</t>
  </si>
  <si>
    <t xml:space="preserve">Status power</t>
  </si>
  <si>
    <t xml:space="preserve">WUF b0, SBF b1, VOSRDY b14</t>
  </si>
  <si>
    <t xml:space="preserve">PWR|CSR</t>
  </si>
  <si>
    <t xml:space="preserve">CTRL</t>
  </si>
  <si>
    <t xml:space="preserve">Kontrol SysTick (STK_CTRL)</t>
  </si>
  <si>
    <t xml:space="preserve">ENABLE b0, TICKINT b1 (interrupt), CLKSOURCE b2 (1 = clock CPU), COUNTFLAG b16</t>
  </si>
  <si>
    <t xml:space="preserve">SYSTICK|CTRL</t>
  </si>
  <si>
    <t xml:space="preserve">LOAD</t>
  </si>
  <si>
    <t xml:space="preserve">Nilai awal hitung mundur (24-bit). Periode = LOAD + 1 siklus</t>
  </si>
  <si>
    <t xml:space="preserve">SYSTICK|LOAD</t>
  </si>
  <si>
    <t xml:space="preserve">VAL</t>
  </si>
  <si>
    <t xml:space="preserve">Nilai counter saat ini. Tulis apa saja untuk mengosongkan</t>
  </si>
  <si>
    <t xml:space="preserve">SYSTICK|VAL</t>
  </si>
  <si>
    <t xml:space="preserve">CALIB</t>
  </si>
  <si>
    <t xml:space="preserve">Nilai kalibrasi</t>
  </si>
  <si>
    <t xml:space="preserve">SYSTICK|CALIB</t>
  </si>
  <si>
    <t xml:space="preserve">ISER0</t>
  </si>
  <si>
    <t xml:space="preserve">0x000</t>
  </si>
  <si>
    <t xml:space="preserve">Enable IRQ 0-31 (ISER1 +0x004 untuk IRQ 32-63, ISER2 +0x008 untuk 64-81)</t>
  </si>
  <si>
    <t xml:space="preserve">Tulis 1 = enable</t>
  </si>
  <si>
    <t xml:space="preserve">NVIC|ISER0</t>
  </si>
  <si>
    <t xml:space="preserve">ICER0</t>
  </si>
  <si>
    <t xml:space="preserve">0x080</t>
  </si>
  <si>
    <t xml:space="preserve">Disable IRQ 0-31</t>
  </si>
  <si>
    <t xml:space="preserve">Tulis 1 = disable</t>
  </si>
  <si>
    <t xml:space="preserve">NVIC|ICER0</t>
  </si>
  <si>
    <t xml:space="preserve">ISPR0</t>
  </si>
  <si>
    <t xml:space="preserve">0x100</t>
  </si>
  <si>
    <t xml:space="preserve">Set pending IRQ 0-31</t>
  </si>
  <si>
    <t xml:space="preserve">NVIC|ISPR0</t>
  </si>
  <si>
    <t xml:space="preserve">ICPR0</t>
  </si>
  <si>
    <t xml:space="preserve">0x180</t>
  </si>
  <si>
    <t xml:space="preserve">Clear pending IRQ 0-31</t>
  </si>
  <si>
    <t xml:space="preserve">NVIC|ICPR0</t>
  </si>
  <si>
    <t xml:space="preserve">IPR0</t>
  </si>
  <si>
    <t xml:space="preserve">0x300</t>
  </si>
  <si>
    <t xml:space="preserve">Prioritas IRQ (1 byte per IRQ, hanya 4 bit atas dipakai)</t>
  </si>
  <si>
    <t xml:space="preserve">IPRn: byte ke-n = IRQ n</t>
  </si>
  <si>
    <t xml:space="preserve">NVIC|IPR0</t>
  </si>
  <si>
    <t xml:space="preserve">CPUID</t>
  </si>
  <si>
    <t xml:space="preserve">0x410FC241</t>
  </si>
  <si>
    <t xml:space="preserve">ID inti CPU</t>
  </si>
  <si>
    <t xml:space="preserve">SCB|CPUID</t>
  </si>
  <si>
    <t xml:space="preserve">ICSR</t>
  </si>
  <si>
    <t xml:space="preserve">Status interrupt aktif / pending</t>
  </si>
  <si>
    <t xml:space="preserve">VECTACTIVE b0-8</t>
  </si>
  <si>
    <t xml:space="preserve">SCB|ICSR</t>
  </si>
  <si>
    <t xml:space="preserve">VTOR</t>
  </si>
  <si>
    <t xml:space="preserve">Alamat vector table</t>
  </si>
  <si>
    <t xml:space="preserve">SCB|VTOR</t>
  </si>
  <si>
    <t xml:space="preserve">AIRCR</t>
  </si>
  <si>
    <t xml:space="preserve">0xFA050000</t>
  </si>
  <si>
    <t xml:space="preserve">Software reset &amp; grup prioritas</t>
  </si>
  <si>
    <t xml:space="preserve">SYSRESETREQ b2 (tulis bersama VECTKEY 0x5FA di b16-31)</t>
  </si>
  <si>
    <t xml:space="preserve">SCB|AIRCR</t>
  </si>
  <si>
    <t xml:space="preserve">SCR</t>
  </si>
  <si>
    <t xml:space="preserve">Pengaturan sleep</t>
  </si>
  <si>
    <t xml:space="preserve">SLEEPONEXIT b1, SLEEPDEEP b2</t>
  </si>
  <si>
    <t xml:space="preserve">SCB|SCR</t>
  </si>
  <si>
    <t xml:space="preserve">0x00000200</t>
  </si>
  <si>
    <t xml:space="preserve">Konfigurasi trap</t>
  </si>
  <si>
    <t xml:space="preserve">DIV_0_TRP b4, UNALIGN_TRP b3</t>
  </si>
  <si>
    <t xml:space="preserve">SCB|CCR</t>
  </si>
  <si>
    <t xml:space="preserve">SHCSR</t>
  </si>
  <si>
    <t xml:space="preserve">Enable fault handler terpisah</t>
  </si>
  <si>
    <t xml:space="preserve">MEMFAULTENA b16, BUSFAULTENA b17, USGFAULTENA b18</t>
  </si>
  <si>
    <t xml:space="preserve">SCB|SHCSR</t>
  </si>
  <si>
    <t xml:space="preserve">CFSR</t>
  </si>
  <si>
    <t xml:space="preserve">Penyebab fault (dibaca saat HardFault, Minggu 7)</t>
  </si>
  <si>
    <t xml:space="preserve">MMFSR b0-7, BFSR b8-15, UFSR b16-31</t>
  </si>
  <si>
    <t xml:space="preserve">SCB|CFSR</t>
  </si>
  <si>
    <t xml:space="preserve">HFSR</t>
  </si>
  <si>
    <t xml:space="preserve">Status HardFault</t>
  </si>
  <si>
    <t xml:space="preserve">FORCED b30</t>
  </si>
  <si>
    <t xml:space="preserve">SCB|HFSR</t>
  </si>
  <si>
    <t xml:space="preserve">MMFAR</t>
  </si>
  <si>
    <t xml:space="preserve">Alamat penyebab MemManage fault</t>
  </si>
  <si>
    <t xml:space="preserve">SCB|MMFAR</t>
  </si>
  <si>
    <t xml:space="preserve">BFAR</t>
  </si>
  <si>
    <t xml:space="preserve">Alamat penyebab BusFault</t>
  </si>
  <si>
    <t xml:space="preserve">SCB|BFAR</t>
  </si>
  <si>
    <t xml:space="preserve">CPACR</t>
  </si>
  <si>
    <t xml:space="preserve">0x88</t>
  </si>
  <si>
    <t xml:space="preserve">Akses FPU (dipakai di startup.c)</t>
  </si>
  <si>
    <t xml:space="preserve">CP10 b20-21, CP11 b22-23: isi 11 untuk akses penuh</t>
  </si>
  <si>
    <t xml:space="preserve">SCB|CPACR</t>
  </si>
  <si>
    <t xml:space="preserve">Alamat Lengkap Register GPIO</t>
  </si>
  <si>
    <t xml:space="preserve">Dihitung otomatis: base port (sheet Peripheral) + offset (sheet Register). Ubah sumbernya, tabel ini ikut berubah.</t>
  </si>
  <si>
    <t xml:space="preserve">Port</t>
  </si>
  <si>
    <t xml:space="preserve">Base</t>
  </si>
  <si>
    <t xml:space="preserve">Enable clock</t>
  </si>
  <si>
    <t xml:space="preserve">Contoh pemakaian di kode: #define GPIOx_ODR (*(volatile uint32_t *)0x........)  ← isi dengan alamat dari kolom ODR port-mu.</t>
  </si>
  <si>
    <t xml:space="preserve">Alamat register RCC penting</t>
  </si>
  <si>
    <t xml:space="preserve">Alamat</t>
  </si>
  <si>
    <t xml:space="preserve">RCC_CR</t>
  </si>
  <si>
    <t xml:space="preserve">RCC_PLLCFGR</t>
  </si>
  <si>
    <t xml:space="preserve">RCC_CFGR</t>
  </si>
  <si>
    <t xml:space="preserve">RCC_CSR</t>
  </si>
  <si>
    <t xml:space="preserve">Alternate Function Mapping (AF0-AF15)</t>
  </si>
  <si>
    <t xml:space="preserve">Sumber: DS8626 Table 9 (hal. 64-72). Nilai AF ditulis ke GPIOx_AFRL (pin 0-7) atau AFRH (pin 8-15), dan MODER pin harus 10 (alternate function).</t>
  </si>
  <si>
    <t xml:space="preserve">Pin</t>
  </si>
  <si>
    <t xml:space="preserve">AF0</t>
  </si>
  <si>
    <t xml:space="preserve">AF1</t>
  </si>
  <si>
    <t xml:space="preserve">AF2</t>
  </si>
  <si>
    <t xml:space="preserve">AF3</t>
  </si>
  <si>
    <t xml:space="preserve">AF4</t>
  </si>
  <si>
    <t xml:space="preserve">AF5</t>
  </si>
  <si>
    <t xml:space="preserve">AF6</t>
  </si>
  <si>
    <t xml:space="preserve">AF7</t>
  </si>
  <si>
    <t xml:space="preserve">AF8</t>
  </si>
  <si>
    <t xml:space="preserve">AF9</t>
  </si>
  <si>
    <t xml:space="preserve">AF10</t>
  </si>
  <si>
    <t xml:space="preserve">AF11</t>
  </si>
  <si>
    <t xml:space="preserve">AF12</t>
  </si>
  <si>
    <t xml:space="preserve">AF13</t>
  </si>
  <si>
    <t xml:space="preserve">AF14</t>
  </si>
  <si>
    <t xml:space="preserve">AF15</t>
  </si>
  <si>
    <t xml:space="preserve">Catatan</t>
  </si>
  <si>
    <t xml:space="preserve">Grup →</t>
  </si>
  <si>
    <t xml:space="preserve">SYS</t>
  </si>
  <si>
    <t xml:space="preserve">TIM1/2</t>
  </si>
  <si>
    <t xml:space="preserve">TIM3/4/5</t>
  </si>
  <si>
    <t xml:space="preserve">TIM8/9/10/11</t>
  </si>
  <si>
    <t xml:space="preserve">I2C1/2/3</t>
  </si>
  <si>
    <t xml:space="preserve">SPI1/SPI2/I2S2/I2S2ext</t>
  </si>
  <si>
    <t xml:space="preserve">SPI3/I2Sext/I2S3</t>
  </si>
  <si>
    <t xml:space="preserve">USART1/2/3/I2S3ext</t>
  </si>
  <si>
    <t xml:space="preserve">UART4/5/USART6</t>
  </si>
  <si>
    <t xml:space="preserve">CAN1/2/TIM12/13/14</t>
  </si>
  <si>
    <t xml:space="preserve">OTG_FS/OTG_HS</t>
  </si>
  <si>
    <t xml:space="preserve">ETH</t>
  </si>
  <si>
    <t xml:space="preserve">FSMC/SDIO/OTG_FS</t>
  </si>
  <si>
    <t xml:space="preserve">PA0</t>
  </si>
  <si>
    <t xml:space="preserve">TIM2_CH1_ETR</t>
  </si>
  <si>
    <t xml:space="preserve">TIM5_CH1</t>
  </si>
  <si>
    <t xml:space="preserve">TIM8_ETR</t>
  </si>
  <si>
    <t xml:space="preserve">USART2_CTS</t>
  </si>
  <si>
    <t xml:space="preserve">UART4_TX</t>
  </si>
  <si>
    <t xml:space="preserve">ETH_MII_CRS</t>
  </si>
  <si>
    <t xml:space="preserve">EVENTOUT</t>
  </si>
  <si>
    <t xml:space="preserve">Juga WKUP (bangun dari Standby)</t>
  </si>
  <si>
    <t xml:space="preserve">PA1</t>
  </si>
  <si>
    <t xml:space="preserve">TIM2_CH2</t>
  </si>
  <si>
    <t xml:space="preserve">TIM5_CH2</t>
  </si>
  <si>
    <t xml:space="preserve">USART2_RTS</t>
  </si>
  <si>
    <t xml:space="preserve">UART4_RX</t>
  </si>
  <si>
    <t xml:space="preserve">ETH_MII_RX_CLK / ETH_RMII_REF_CLK</t>
  </si>
  <si>
    <t xml:space="preserve">PA2</t>
  </si>
  <si>
    <t xml:space="preserve">TIM2_CH3</t>
  </si>
  <si>
    <t xml:space="preserve">TIM5_CH3</t>
  </si>
  <si>
    <t xml:space="preserve">TIM9_CH1</t>
  </si>
  <si>
    <t xml:space="preserve">USART2_TX</t>
  </si>
  <si>
    <t xml:space="preserve">ETH_MDIO</t>
  </si>
  <si>
    <t xml:space="preserve">PA3</t>
  </si>
  <si>
    <t xml:space="preserve">TIM2_CH4</t>
  </si>
  <si>
    <t xml:space="preserve">TIM5_CH4</t>
  </si>
  <si>
    <t xml:space="preserve">TIM9_CH2</t>
  </si>
  <si>
    <t xml:space="preserve">USART2_RX</t>
  </si>
  <si>
    <t xml:space="preserve">OTG_HS_ULPI_D0</t>
  </si>
  <si>
    <t xml:space="preserve">ETH_MII_COL</t>
  </si>
  <si>
    <t xml:space="preserve">PA4</t>
  </si>
  <si>
    <t xml:space="preserve">SPI1_NSS</t>
  </si>
  <si>
    <t xml:space="preserve">SPI3_NSS / I2S3_WS</t>
  </si>
  <si>
    <t xml:space="preserve">USART2_CK</t>
  </si>
  <si>
    <t xml:space="preserve">OTG_HS_SOF</t>
  </si>
  <si>
    <t xml:space="preserve">DCMI_HSYNC</t>
  </si>
  <si>
    <t xml:space="preserve">PA5</t>
  </si>
  <si>
    <t xml:space="preserve">TIM8_CH1N</t>
  </si>
  <si>
    <t xml:space="preserve">SPI1_SCK</t>
  </si>
  <si>
    <t xml:space="preserve">OTG_HS_ULPI_CK</t>
  </si>
  <si>
    <t xml:space="preserve">PA6</t>
  </si>
  <si>
    <t xml:space="preserve">TIM1_BKIN</t>
  </si>
  <si>
    <t xml:space="preserve">TIM3_CH1</t>
  </si>
  <si>
    <t xml:space="preserve">TIM8_BKIN</t>
  </si>
  <si>
    <t xml:space="preserve">SPI1_MISO</t>
  </si>
  <si>
    <t xml:space="preserve">TIM13_CH1</t>
  </si>
  <si>
    <t xml:space="preserve">DCMI_PIXCLK</t>
  </si>
  <si>
    <t xml:space="preserve">PA7</t>
  </si>
  <si>
    <t xml:space="preserve">TIM1_CH1N</t>
  </si>
  <si>
    <t xml:space="preserve">TIM3_CH2</t>
  </si>
  <si>
    <t xml:space="preserve">SPI1_MOSI</t>
  </si>
  <si>
    <t xml:space="preserve">TIM14_CH1</t>
  </si>
  <si>
    <t xml:space="preserve">ETH_MII_RX_DV / ETH_RMII_CRS_DV</t>
  </si>
  <si>
    <t xml:space="preserve">PA8</t>
  </si>
  <si>
    <t xml:space="preserve">MCO1</t>
  </si>
  <si>
    <t xml:space="preserve">TIM1_CH1</t>
  </si>
  <si>
    <t xml:space="preserve">I2C3_SCL</t>
  </si>
  <si>
    <t xml:space="preserve">USART1_CK</t>
  </si>
  <si>
    <t xml:space="preserve">OTG_FS_SOF</t>
  </si>
  <si>
    <t xml:space="preserve">PA9</t>
  </si>
  <si>
    <t xml:space="preserve">TIM1_CH2</t>
  </si>
  <si>
    <t xml:space="preserve">I2C3_SMBA</t>
  </si>
  <si>
    <t xml:space="preserve">USART1_TX</t>
  </si>
  <si>
    <t xml:space="preserve">DCMI_D0</t>
  </si>
  <si>
    <t xml:space="preserve">PA10</t>
  </si>
  <si>
    <t xml:space="preserve">TIM1_CH3</t>
  </si>
  <si>
    <t xml:space="preserve">USART1_RX</t>
  </si>
  <si>
    <t xml:space="preserve">OTG_FS_ID</t>
  </si>
  <si>
    <t xml:space="preserve">DCMI_D1</t>
  </si>
  <si>
    <t xml:space="preserve">PA11</t>
  </si>
  <si>
    <t xml:space="preserve">TIM1_CH4</t>
  </si>
  <si>
    <t xml:space="preserve">USART1_CTS</t>
  </si>
  <si>
    <t xml:space="preserve">CAN1_RX</t>
  </si>
  <si>
    <t xml:space="preserve">OTG_FS_DM</t>
  </si>
  <si>
    <t xml:space="preserve">PA12</t>
  </si>
  <si>
    <t xml:space="preserve">TIM1_ETR</t>
  </si>
  <si>
    <t xml:space="preserve">USART1_RTS</t>
  </si>
  <si>
    <t xml:space="preserve">CAN1_TX</t>
  </si>
  <si>
    <t xml:space="preserve">OTG_FS_DP</t>
  </si>
  <si>
    <t xml:space="preserve">PA13</t>
  </si>
  <si>
    <t xml:space="preserve">JTMS-SWDIO</t>
  </si>
  <si>
    <t xml:space="preserve">SWDIO debugger, jangan diubah</t>
  </si>
  <si>
    <t xml:space="preserve">PA14</t>
  </si>
  <si>
    <t xml:space="preserve">JTCK-SWCLK</t>
  </si>
  <si>
    <t xml:space="preserve">SWCLK debugger, jangan diubah</t>
  </si>
  <si>
    <t xml:space="preserve">PA15</t>
  </si>
  <si>
    <t xml:space="preserve">JTDI</t>
  </si>
  <si>
    <t xml:space="preserve">TIM2_CH1 / TIM2_ETR</t>
  </si>
  <si>
    <t xml:space="preserve">JTDI (bebas kalau pakai SWD saja)</t>
  </si>
  <si>
    <t xml:space="preserve">PB0</t>
  </si>
  <si>
    <t xml:space="preserve">TIM1_CH2N</t>
  </si>
  <si>
    <t xml:space="preserve">TIM3_CH3</t>
  </si>
  <si>
    <t xml:space="preserve">TIM8_CH2N</t>
  </si>
  <si>
    <t xml:space="preserve">OTG_HS_ULPI_D1</t>
  </si>
  <si>
    <t xml:space="preserve">ETH_MII_RXD2</t>
  </si>
  <si>
    <t xml:space="preserve">PB1</t>
  </si>
  <si>
    <t xml:space="preserve">TIM1_CH3N</t>
  </si>
  <si>
    <t xml:space="preserve">TIM3_CH4</t>
  </si>
  <si>
    <t xml:space="preserve">TIM8_CH3N</t>
  </si>
  <si>
    <t xml:space="preserve">OTG_HS_ULPI_D2</t>
  </si>
  <si>
    <t xml:space="preserve">ETH_MII_RXD3</t>
  </si>
  <si>
    <t xml:space="preserve">PB2</t>
  </si>
  <si>
    <t xml:space="preserve">Juga pin BOOT1</t>
  </si>
  <si>
    <t xml:space="preserve">PB3</t>
  </si>
  <si>
    <t xml:space="preserve">JTDO / TRACESWO</t>
  </si>
  <si>
    <t xml:space="preserve">SPI3_SCK / I2S3_CK</t>
  </si>
  <si>
    <t xml:space="preserve">JTDO/SWO (bebas kalau pakai SWD saja)</t>
  </si>
  <si>
    <t xml:space="preserve">PB4</t>
  </si>
  <si>
    <t xml:space="preserve">NJTRST</t>
  </si>
  <si>
    <t xml:space="preserve">SPI3_MISO</t>
  </si>
  <si>
    <t xml:space="preserve">I2S3ext_SD</t>
  </si>
  <si>
    <t xml:space="preserve">NJTRST (bebas kalau pakai SWD saja)</t>
  </si>
  <si>
    <t xml:space="preserve">PB5</t>
  </si>
  <si>
    <t xml:space="preserve">I2C1_SMBA</t>
  </si>
  <si>
    <t xml:space="preserve">SPI3_MOSI / I2S3_SD</t>
  </si>
  <si>
    <t xml:space="preserve">CAN2_RX</t>
  </si>
  <si>
    <t xml:space="preserve">OTG_HS_ULPI_D7</t>
  </si>
  <si>
    <t xml:space="preserve">ETH_PPS_OUT</t>
  </si>
  <si>
    <t xml:space="preserve">DCMI_D10</t>
  </si>
  <si>
    <t xml:space="preserve">PB6</t>
  </si>
  <si>
    <t xml:space="preserve">TIM4_CH1</t>
  </si>
  <si>
    <t xml:space="preserve">I2C1_SCL</t>
  </si>
  <si>
    <t xml:space="preserve">CAN2_TX</t>
  </si>
  <si>
    <t xml:space="preserve">DCMI_D5</t>
  </si>
  <si>
    <t xml:space="preserve">PB7</t>
  </si>
  <si>
    <t xml:space="preserve">TIM4_CH2</t>
  </si>
  <si>
    <t xml:space="preserve">I2C1_SDA</t>
  </si>
  <si>
    <t xml:space="preserve">FSMC_NL</t>
  </si>
  <si>
    <t xml:space="preserve">DCMI_VSYNC</t>
  </si>
  <si>
    <t xml:space="preserve">PB8</t>
  </si>
  <si>
    <t xml:space="preserve">TIM4_CH3</t>
  </si>
  <si>
    <t xml:space="preserve">TIM10_CH1</t>
  </si>
  <si>
    <t xml:space="preserve">ETH_MII_TXD3</t>
  </si>
  <si>
    <t xml:space="preserve">SDIO_D4</t>
  </si>
  <si>
    <t xml:space="preserve">DCMI_D6</t>
  </si>
  <si>
    <t xml:space="preserve">PB9</t>
  </si>
  <si>
    <t xml:space="preserve">TIM4_CH4</t>
  </si>
  <si>
    <t xml:space="preserve">TIM11_CH1</t>
  </si>
  <si>
    <t xml:space="preserve">SPI2_NSS / I2S2_WS</t>
  </si>
  <si>
    <t xml:space="preserve">SDIO_D5</t>
  </si>
  <si>
    <t xml:space="preserve">DCMI_D7</t>
  </si>
  <si>
    <t xml:space="preserve">PB10</t>
  </si>
  <si>
    <t xml:space="preserve">I2C2_SCL</t>
  </si>
  <si>
    <t xml:space="preserve">SPI2_SCK / I2S2_CK</t>
  </si>
  <si>
    <t xml:space="preserve">USART3_TX</t>
  </si>
  <si>
    <t xml:space="preserve">OTG_HS_ULPI_D3</t>
  </si>
  <si>
    <t xml:space="preserve">ETH_MII_RX_ER</t>
  </si>
  <si>
    <t xml:space="preserve">PB11</t>
  </si>
  <si>
    <t xml:space="preserve">I2C2_SDA</t>
  </si>
  <si>
    <t xml:space="preserve">USART3_RX</t>
  </si>
  <si>
    <t xml:space="preserve">OTG_HS_ULPI_D4</t>
  </si>
  <si>
    <t xml:space="preserve">ETH_MII_TX_ENETH_RMII_TX_EN</t>
  </si>
  <si>
    <t xml:space="preserve">PB12</t>
  </si>
  <si>
    <t xml:space="preserve">I2C2_SMBA</t>
  </si>
  <si>
    <t xml:space="preserve">USART3_CK</t>
  </si>
  <si>
    <t xml:space="preserve">OTG_HS_ULPI_D5</t>
  </si>
  <si>
    <t xml:space="preserve">ETH_MII_TXD0 / ETH_RMII_TXD0</t>
  </si>
  <si>
    <t xml:space="preserve">OTG_HS_ID</t>
  </si>
  <si>
    <t xml:space="preserve">PB13</t>
  </si>
  <si>
    <t xml:space="preserve">USART3_CTS</t>
  </si>
  <si>
    <t xml:space="preserve">OTG_HS_ULPI_D6</t>
  </si>
  <si>
    <t xml:space="preserve">ETH_MII_TXD1 / ETH_RMII_TXD1</t>
  </si>
  <si>
    <t xml:space="preserve">PB14</t>
  </si>
  <si>
    <t xml:space="preserve">SPI2_MISO</t>
  </si>
  <si>
    <t xml:space="preserve">I2S2ext_SD</t>
  </si>
  <si>
    <t xml:space="preserve">USART3_RTS</t>
  </si>
  <si>
    <t xml:space="preserve">TIM12_CH1</t>
  </si>
  <si>
    <t xml:space="preserve">OTG_HS_DM</t>
  </si>
  <si>
    <t xml:space="preserve">PB15</t>
  </si>
  <si>
    <t xml:space="preserve">RTC_REFIN</t>
  </si>
  <si>
    <t xml:space="preserve">SPI2_MOSI / I2S2_SD</t>
  </si>
  <si>
    <t xml:space="preserve">TIM12_CH2</t>
  </si>
  <si>
    <t xml:space="preserve">OTG_HS_DP</t>
  </si>
  <si>
    <t xml:space="preserve">PC0</t>
  </si>
  <si>
    <t xml:space="preserve">OTG_HS_ULPI_STP</t>
  </si>
  <si>
    <t xml:space="preserve">PC1</t>
  </si>
  <si>
    <t xml:space="preserve">ETH_MDC</t>
  </si>
  <si>
    <t xml:space="preserve">PC2</t>
  </si>
  <si>
    <t xml:space="preserve">OTG_HS_ULPI_DIR</t>
  </si>
  <si>
    <t xml:space="preserve">ETH_MII_TXD2</t>
  </si>
  <si>
    <t xml:space="preserve">PC3</t>
  </si>
  <si>
    <t xml:space="preserve">OTG_HS_ULPI_NXT</t>
  </si>
  <si>
    <t xml:space="preserve">ETH_MII_TX_CLK</t>
  </si>
  <si>
    <t xml:space="preserve">PC4</t>
  </si>
  <si>
    <t xml:space="preserve">ETH_MII_RXD0 / ETH_RMII_RXD0</t>
  </si>
  <si>
    <t xml:space="preserve">PC5</t>
  </si>
  <si>
    <t xml:space="preserve">ETH_MII_RXD1 / ETH_RMII_RXD1</t>
  </si>
  <si>
    <t xml:space="preserve">PC6</t>
  </si>
  <si>
    <t xml:space="preserve">TIM8_CH1</t>
  </si>
  <si>
    <t xml:space="preserve">I2S2_MCK</t>
  </si>
  <si>
    <t xml:space="preserve">USART6_TX</t>
  </si>
  <si>
    <t xml:space="preserve">SDIO_D6</t>
  </si>
  <si>
    <t xml:space="preserve">PC7</t>
  </si>
  <si>
    <t xml:space="preserve">TIM8_CH2</t>
  </si>
  <si>
    <t xml:space="preserve">I2S3_MCK</t>
  </si>
  <si>
    <t xml:space="preserve">USART6_RX</t>
  </si>
  <si>
    <t xml:space="preserve">SDIO_D7</t>
  </si>
  <si>
    <t xml:space="preserve">PC8</t>
  </si>
  <si>
    <t xml:space="preserve">TIM8_CH3</t>
  </si>
  <si>
    <t xml:space="preserve">USART6_CK</t>
  </si>
  <si>
    <t xml:space="preserve">SDIO_D0</t>
  </si>
  <si>
    <t xml:space="preserve">DCMI_D2</t>
  </si>
  <si>
    <t xml:space="preserve">PC9</t>
  </si>
  <si>
    <t xml:space="preserve">MCO2</t>
  </si>
  <si>
    <t xml:space="preserve">TIM8_CH4</t>
  </si>
  <si>
    <t xml:space="preserve">I2C3_SDA</t>
  </si>
  <si>
    <t xml:space="preserve">I2S_CKIN</t>
  </si>
  <si>
    <t xml:space="preserve">SDIO_D1</t>
  </si>
  <si>
    <t xml:space="preserve">DCMI_D3</t>
  </si>
  <si>
    <t xml:space="preserve">PC10</t>
  </si>
  <si>
    <t xml:space="preserve">SDIO_D2</t>
  </si>
  <si>
    <t xml:space="preserve">DCMI_D8</t>
  </si>
  <si>
    <t xml:space="preserve">PC11</t>
  </si>
  <si>
    <t xml:space="preserve">SDIO_D3</t>
  </si>
  <si>
    <t xml:space="preserve">DCMI_D4</t>
  </si>
  <si>
    <t xml:space="preserve">PC12</t>
  </si>
  <si>
    <t xml:space="preserve">UART5_TX</t>
  </si>
  <si>
    <t xml:space="preserve">SDIO_CK</t>
  </si>
  <si>
    <t xml:space="preserve">DCMI_D9</t>
  </si>
  <si>
    <t xml:space="preserve">PC13</t>
  </si>
  <si>
    <t xml:space="preserve">RTC/tamper, arus keluaran terbatas (maks 3 mA)</t>
  </si>
  <si>
    <t xml:space="preserve">PC14</t>
  </si>
  <si>
    <t xml:space="preserve">Pin kristal LSE 32 kHz</t>
  </si>
  <si>
    <t xml:space="preserve">PC15</t>
  </si>
  <si>
    <t xml:space="preserve">PD0</t>
  </si>
  <si>
    <t xml:space="preserve">FSMC_D2</t>
  </si>
  <si>
    <t xml:space="preserve">PD1</t>
  </si>
  <si>
    <t xml:space="preserve">FSMC_D3</t>
  </si>
  <si>
    <t xml:space="preserve">PD2</t>
  </si>
  <si>
    <t xml:space="preserve">TIM3_ETR</t>
  </si>
  <si>
    <t xml:space="preserve">UART5_RX</t>
  </si>
  <si>
    <t xml:space="preserve">SDIO_CMD</t>
  </si>
  <si>
    <t xml:space="preserve">DCMI_D11</t>
  </si>
  <si>
    <t xml:space="preserve">PD3</t>
  </si>
  <si>
    <t xml:space="preserve">FSMC_CLK</t>
  </si>
  <si>
    <t xml:space="preserve">PD4</t>
  </si>
  <si>
    <t xml:space="preserve">FSMC_NOE</t>
  </si>
  <si>
    <t xml:space="preserve">PD5</t>
  </si>
  <si>
    <t xml:space="preserve">FSMC_NWE</t>
  </si>
  <si>
    <t xml:space="preserve">PD6</t>
  </si>
  <si>
    <t xml:space="preserve">FSMC_NWAIT</t>
  </si>
  <si>
    <t xml:space="preserve">PD7</t>
  </si>
  <si>
    <t xml:space="preserve">FSMC_NE1 / FSMC_NCE2</t>
  </si>
  <si>
    <t xml:space="preserve">PD8</t>
  </si>
  <si>
    <t xml:space="preserve">FSMC_D13</t>
  </si>
  <si>
    <t xml:space="preserve">PD9</t>
  </si>
  <si>
    <t xml:space="preserve">FSMC_D14</t>
  </si>
  <si>
    <t xml:space="preserve">PD10</t>
  </si>
  <si>
    <t xml:space="preserve">FSMC_D15</t>
  </si>
  <si>
    <t xml:space="preserve">PD11</t>
  </si>
  <si>
    <t xml:space="preserve">FSMC_A16</t>
  </si>
  <si>
    <t xml:space="preserve">PD12</t>
  </si>
  <si>
    <t xml:space="preserve">FSMC_A17</t>
  </si>
  <si>
    <t xml:space="preserve">PD13</t>
  </si>
  <si>
    <t xml:space="preserve">FSMC_A18</t>
  </si>
  <si>
    <t xml:space="preserve">PD14</t>
  </si>
  <si>
    <t xml:space="preserve">FSMC_D0</t>
  </si>
  <si>
    <t xml:space="preserve">PD15</t>
  </si>
  <si>
    <t xml:space="preserve">FSMC_D1</t>
  </si>
  <si>
    <t xml:space="preserve">PE0</t>
  </si>
  <si>
    <t xml:space="preserve">TIM4_ETR</t>
  </si>
  <si>
    <t xml:space="preserve">FSMC_NBL0</t>
  </si>
  <si>
    <t xml:space="preserve">PE1</t>
  </si>
  <si>
    <t xml:space="preserve">FSMC_NBL1</t>
  </si>
  <si>
    <t xml:space="preserve">PE2</t>
  </si>
  <si>
    <t xml:space="preserve">TRACECLK</t>
  </si>
  <si>
    <t xml:space="preserve">FSMC_A23</t>
  </si>
  <si>
    <t xml:space="preserve">PE3</t>
  </si>
  <si>
    <t xml:space="preserve">TRACED0</t>
  </si>
  <si>
    <t xml:space="preserve">FSMC_A19</t>
  </si>
  <si>
    <t xml:space="preserve">PE4</t>
  </si>
  <si>
    <t xml:space="preserve">TRACED1</t>
  </si>
  <si>
    <t xml:space="preserve">FSMC_A20</t>
  </si>
  <si>
    <t xml:space="preserve">PE5</t>
  </si>
  <si>
    <t xml:space="preserve">TRACED2</t>
  </si>
  <si>
    <t xml:space="preserve">FSMC_A21</t>
  </si>
  <si>
    <t xml:space="preserve">PE6</t>
  </si>
  <si>
    <t xml:space="preserve">TRACED3</t>
  </si>
  <si>
    <t xml:space="preserve">FSMC_A22</t>
  </si>
  <si>
    <t xml:space="preserve">PE7</t>
  </si>
  <si>
    <t xml:space="preserve">FSMC_D4</t>
  </si>
  <si>
    <t xml:space="preserve">PE8</t>
  </si>
  <si>
    <t xml:space="preserve">FSMC_D5</t>
  </si>
  <si>
    <t xml:space="preserve">PE9</t>
  </si>
  <si>
    <t xml:space="preserve">FSMC_D6</t>
  </si>
  <si>
    <t xml:space="preserve">PE10</t>
  </si>
  <si>
    <t xml:space="preserve">FSMC_D7</t>
  </si>
  <si>
    <t xml:space="preserve">PE11</t>
  </si>
  <si>
    <t xml:space="preserve">FSMC_D8</t>
  </si>
  <si>
    <t xml:space="preserve">PE12</t>
  </si>
  <si>
    <t xml:space="preserve">FSMC_D9</t>
  </si>
  <si>
    <t xml:space="preserve">PE13</t>
  </si>
  <si>
    <t xml:space="preserve">FSMC_D10</t>
  </si>
  <si>
    <t xml:space="preserve">PE14</t>
  </si>
  <si>
    <t xml:space="preserve">FSMC_D11</t>
  </si>
  <si>
    <t xml:space="preserve">PE15</t>
  </si>
  <si>
    <t xml:space="preserve">FSMC_D12</t>
  </si>
  <si>
    <t xml:space="preserve">PF0</t>
  </si>
  <si>
    <t xml:space="preserve">FSMC_A0</t>
  </si>
  <si>
    <t xml:space="preserve">PF1</t>
  </si>
  <si>
    <t xml:space="preserve">FSMC_A1</t>
  </si>
  <si>
    <t xml:space="preserve">PF2</t>
  </si>
  <si>
    <t xml:space="preserve">FSMC_A2</t>
  </si>
  <si>
    <t xml:space="preserve">PF3</t>
  </si>
  <si>
    <t xml:space="preserve">FSMC_A3</t>
  </si>
  <si>
    <t xml:space="preserve">PF4</t>
  </si>
  <si>
    <t xml:space="preserve">FSMC_A4</t>
  </si>
  <si>
    <t xml:space="preserve">PF5</t>
  </si>
  <si>
    <t xml:space="preserve">FSMC_A5</t>
  </si>
  <si>
    <t xml:space="preserve">PF6</t>
  </si>
  <si>
    <t xml:space="preserve">FSMC_NIORD</t>
  </si>
  <si>
    <t xml:space="preserve">PF7</t>
  </si>
  <si>
    <t xml:space="preserve">FSMC_NREG</t>
  </si>
  <si>
    <t xml:space="preserve">PF8</t>
  </si>
  <si>
    <t xml:space="preserve">FSMC_NIOWR</t>
  </si>
  <si>
    <t xml:space="preserve">PF9</t>
  </si>
  <si>
    <t xml:space="preserve">FSMC_CD</t>
  </si>
  <si>
    <t xml:space="preserve">PF10</t>
  </si>
  <si>
    <t xml:space="preserve">FSMC_INTR</t>
  </si>
  <si>
    <t xml:space="preserve">PF11</t>
  </si>
  <si>
    <t xml:space="preserve">DCMI_D12</t>
  </si>
  <si>
    <t xml:space="preserve">PF12</t>
  </si>
  <si>
    <t xml:space="preserve">FSMC_A6</t>
  </si>
  <si>
    <t xml:space="preserve">PF13</t>
  </si>
  <si>
    <t xml:space="preserve">FSMC_A7</t>
  </si>
  <si>
    <t xml:space="preserve">PF14</t>
  </si>
  <si>
    <t xml:space="preserve">FSMC_A8</t>
  </si>
  <si>
    <t xml:space="preserve">PF15</t>
  </si>
  <si>
    <t xml:space="preserve">FSMC_A9</t>
  </si>
  <si>
    <t xml:space="preserve">PG0</t>
  </si>
  <si>
    <t xml:space="preserve">FSMC_A10</t>
  </si>
  <si>
    <t xml:space="preserve">PG1</t>
  </si>
  <si>
    <t xml:space="preserve">FSMC_A11</t>
  </si>
  <si>
    <t xml:space="preserve">PG2</t>
  </si>
  <si>
    <t xml:space="preserve">FSMC_A12</t>
  </si>
  <si>
    <t xml:space="preserve">PG3</t>
  </si>
  <si>
    <t xml:space="preserve">FSMC_A13</t>
  </si>
  <si>
    <t xml:space="preserve">PG4</t>
  </si>
  <si>
    <t xml:space="preserve">FSMC_A14</t>
  </si>
  <si>
    <t xml:space="preserve">PG5</t>
  </si>
  <si>
    <t xml:space="preserve">FSMC_A15</t>
  </si>
  <si>
    <t xml:space="preserve">PG6</t>
  </si>
  <si>
    <t xml:space="preserve">FSMC_INT2</t>
  </si>
  <si>
    <t xml:space="preserve">PG7</t>
  </si>
  <si>
    <t xml:space="preserve">FSMC_INT3</t>
  </si>
  <si>
    <t xml:space="preserve">PG8</t>
  </si>
  <si>
    <t xml:space="preserve">USART6_RTS</t>
  </si>
  <si>
    <t xml:space="preserve">PG9</t>
  </si>
  <si>
    <t xml:space="preserve">FSMC_NE2 / FSMC_NCE3</t>
  </si>
  <si>
    <t xml:space="preserve">PG10</t>
  </si>
  <si>
    <t xml:space="preserve">FSMC_NCE4_1 / FSMC_NE3</t>
  </si>
  <si>
    <t xml:space="preserve">PG11</t>
  </si>
  <si>
    <t xml:space="preserve">ETH_MII_TX_EN / ETH_RMII_TX_EN</t>
  </si>
  <si>
    <t xml:space="preserve">FSMC_NCE4_2</t>
  </si>
  <si>
    <t xml:space="preserve">PG12</t>
  </si>
  <si>
    <t xml:space="preserve">FSMC_NE4</t>
  </si>
  <si>
    <t xml:space="preserve">PG13</t>
  </si>
  <si>
    <t xml:space="preserve">UART6_CTS</t>
  </si>
  <si>
    <t xml:space="preserve">FSMC_A24</t>
  </si>
  <si>
    <t xml:space="preserve">PG14</t>
  </si>
  <si>
    <t xml:space="preserve">FSMC_A25</t>
  </si>
  <si>
    <t xml:space="preserve">PG15</t>
  </si>
  <si>
    <t xml:space="preserve">USART6_CTS</t>
  </si>
  <si>
    <t xml:space="preserve">DCMI_D13</t>
  </si>
  <si>
    <t xml:space="preserve">Port H</t>
  </si>
  <si>
    <t xml:space="preserve">PH0</t>
  </si>
  <si>
    <t xml:space="preserve">Pin kristal HSE (OSC_IN)</t>
  </si>
  <si>
    <t xml:space="preserve">PH1</t>
  </si>
  <si>
    <t xml:space="preserve">Pin kristal HSE (OSC_OUT)</t>
  </si>
  <si>
    <t xml:space="preserve">PH2</t>
  </si>
  <si>
    <t xml:space="preserve">PH3</t>
  </si>
  <si>
    <t xml:space="preserve">PH4</t>
  </si>
  <si>
    <t xml:space="preserve">PH5</t>
  </si>
  <si>
    <t xml:space="preserve">PH6</t>
  </si>
  <si>
    <t xml:space="preserve">PH7</t>
  </si>
  <si>
    <t xml:space="preserve">PH8</t>
  </si>
  <si>
    <t xml:space="preserve">PH9</t>
  </si>
  <si>
    <t xml:space="preserve">PH10</t>
  </si>
  <si>
    <t xml:space="preserve">PH11</t>
  </si>
  <si>
    <t xml:space="preserve">PH12</t>
  </si>
  <si>
    <t xml:space="preserve">PH13</t>
  </si>
  <si>
    <t xml:space="preserve">PH14</t>
  </si>
  <si>
    <t xml:space="preserve">PH15</t>
  </si>
  <si>
    <t xml:space="preserve">Port I</t>
  </si>
  <si>
    <t xml:space="preserve">PI0</t>
  </si>
  <si>
    <t xml:space="preserve">PI1</t>
  </si>
  <si>
    <t xml:space="preserve">PI2</t>
  </si>
  <si>
    <t xml:space="preserve">PI3</t>
  </si>
  <si>
    <t xml:space="preserve">PI4</t>
  </si>
  <si>
    <t xml:space="preserve">PI5</t>
  </si>
  <si>
    <t xml:space="preserve">PI6</t>
  </si>
  <si>
    <t xml:space="preserve">PI7</t>
  </si>
  <si>
    <t xml:space="preserve">PI8</t>
  </si>
  <si>
    <t xml:space="preserve">PI9</t>
  </si>
  <si>
    <t xml:space="preserve">PI10</t>
  </si>
  <si>
    <t xml:space="preserve">PI11</t>
  </si>
  <si>
    <t xml:space="preserve">Cari Sinyal → Pin</t>
  </si>
  <si>
    <t xml:space="preserve">Ketik nama sinyal di filter kolom A (mis. TIM3_CH1, USART2_TX, I2C1_SCL). Kolom "Nilai AF" adalah angka yang ditulis ke AFRL/AFRH.</t>
  </si>
  <si>
    <t xml:space="preserve">Sinyal</t>
  </si>
  <si>
    <t xml:space="preserve">Nilai AF</t>
  </si>
  <si>
    <t xml:space="preserve">Register AF</t>
  </si>
  <si>
    <t xml:space="preserve">ETH_MII_RXD0</t>
  </si>
  <si>
    <t xml:space="preserve">ETH_MII_RXD1</t>
  </si>
  <si>
    <t xml:space="preserve">ETH_MII_RX_CLK</t>
  </si>
  <si>
    <t xml:space="preserve">ETH_MII_RX_DV</t>
  </si>
  <si>
    <t xml:space="preserve">ETH_MII_TXD0</t>
  </si>
  <si>
    <t xml:space="preserve">ETH_MII_TXD1</t>
  </si>
  <si>
    <t xml:space="preserve">ETH_MII_TX_EN</t>
  </si>
  <si>
    <t xml:space="preserve">ETH_RMII_CRS_DV</t>
  </si>
  <si>
    <t xml:space="preserve">ETH_RMII_REF_CLK</t>
  </si>
  <si>
    <t xml:space="preserve">ETH_RMII_RXD0</t>
  </si>
  <si>
    <t xml:space="preserve">ETH_RMII_RXD1</t>
  </si>
  <si>
    <t xml:space="preserve">ETH_RMII_TXD0</t>
  </si>
  <si>
    <t xml:space="preserve">ETH_RMII_TXD1</t>
  </si>
  <si>
    <t xml:space="preserve">ETH_RMII_TX_EN</t>
  </si>
  <si>
    <t xml:space="preserve">FSMC_NCE2</t>
  </si>
  <si>
    <t xml:space="preserve">FSMC_NCE3</t>
  </si>
  <si>
    <t xml:space="preserve">FSMC_NCE4_1</t>
  </si>
  <si>
    <t xml:space="preserve">FSMC_NE1</t>
  </si>
  <si>
    <t xml:space="preserve">FSMC_NE2</t>
  </si>
  <si>
    <t xml:space="preserve">FSMC_NE3</t>
  </si>
  <si>
    <t xml:space="preserve">I2S2_CK</t>
  </si>
  <si>
    <t xml:space="preserve">I2S2</t>
  </si>
  <si>
    <t xml:space="preserve">I2S2_SD</t>
  </si>
  <si>
    <t xml:space="preserve">I2S2_WS</t>
  </si>
  <si>
    <t xml:space="preserve">I2S3_CK</t>
  </si>
  <si>
    <t xml:space="preserve">I2S3</t>
  </si>
  <si>
    <t xml:space="preserve">I2S3_SD</t>
  </si>
  <si>
    <t xml:space="preserve">I2S3_WS</t>
  </si>
  <si>
    <t xml:space="preserve">I2S</t>
  </si>
  <si>
    <t xml:space="preserve">JTCK</t>
  </si>
  <si>
    <t xml:space="preserve">JTDO</t>
  </si>
  <si>
    <t xml:space="preserve">JTMS</t>
  </si>
  <si>
    <t xml:space="preserve">OTG</t>
  </si>
  <si>
    <t xml:space="preserve">RTC</t>
  </si>
  <si>
    <t xml:space="preserve">SPI2</t>
  </si>
  <si>
    <t xml:space="preserve">SPI2_MOSI</t>
  </si>
  <si>
    <t xml:space="preserve">SPI2_NSS</t>
  </si>
  <si>
    <t xml:space="preserve">SPI2_SCK</t>
  </si>
  <si>
    <t xml:space="preserve">SPI3</t>
  </si>
  <si>
    <t xml:space="preserve">SPI3_MOSI</t>
  </si>
  <si>
    <t xml:space="preserve">SPI3_NSS</t>
  </si>
  <si>
    <t xml:space="preserve">SPI3_SCK</t>
  </si>
  <si>
    <t xml:space="preserve">SWCLK</t>
  </si>
  <si>
    <t xml:space="preserve">SWDIO</t>
  </si>
  <si>
    <t xml:space="preserve">TIM2_CH1</t>
  </si>
  <si>
    <t xml:space="preserve">TIM2_ETR</t>
  </si>
  <si>
    <t xml:space="preserve">TRACESWO</t>
  </si>
  <si>
    <t xml:space="preserve">UART6</t>
  </si>
  <si>
    <t xml:space="preserve">Ringkasan Timer</t>
  </si>
  <si>
    <t xml:space="preserve">Sumber: DS8626 Table 4 (hal. 33-34) dan Table 9. Clock timer = 2x clock bus APB jika prescaler APB ≠ 1. Setelah reset (HSI 16 MHz, tanpa PLL) semua timer berdetak 16 MHz.</t>
  </si>
  <si>
    <t xml:space="preserve">Jenis</t>
  </si>
  <si>
    <t xml:space="preserve">Resolusi</t>
  </si>
  <si>
    <t xml:space="preserve">Arah hitung</t>
  </si>
  <si>
    <t xml:space="preserve">Jumlah channel</t>
  </si>
  <si>
    <t xml:space="preserve">Output komplementer</t>
  </si>
  <si>
    <t xml:space="preserve">DMA</t>
  </si>
  <si>
    <t xml:space="preserve">Clock interface maks (MHz)</t>
  </si>
  <si>
    <t xml:space="preserve">Clock timer maks (MHz)</t>
  </si>
  <si>
    <t xml:space="preserve">Pin CH1</t>
  </si>
  <si>
    <t xml:space="preserve">Pin CH2</t>
  </si>
  <si>
    <t xml:space="preserve">Pin CH3</t>
  </si>
  <si>
    <t xml:space="preserve">Pin CH4</t>
  </si>
  <si>
    <t xml:space="preserve">Pin CHxN</t>
  </si>
  <si>
    <t xml:space="preserve">Pin ETR</t>
  </si>
  <si>
    <t xml:space="preserve">Pin BKIN</t>
  </si>
  <si>
    <t xml:space="preserve">Advanced</t>
  </si>
  <si>
    <t xml:space="preserve">16-bit</t>
  </si>
  <si>
    <t xml:space="preserve">Up/Down/Up-down</t>
  </si>
  <si>
    <t xml:space="preserve">Ya</t>
  </si>
  <si>
    <t xml:space="preserve">RCC_APB2ENR bit 0 (TIM1EN)</t>
  </si>
  <si>
    <t xml:space="preserve">PA8 (AF1), PE9 (AF1)</t>
  </si>
  <si>
    <t xml:space="preserve">PA9 (AF1), PE11 (AF1)</t>
  </si>
  <si>
    <t xml:space="preserve">PA10 (AF1), PE13 (AF1)</t>
  </si>
  <si>
    <t xml:space="preserve">PA11 (AF1), PE14 (AF1)</t>
  </si>
  <si>
    <t xml:space="preserve">CH1N: PA7 (AF1), PB13 (AF1), PE8 (AF1) | CH2N: PB0 (AF1), PB14 (AF1), PE10 (AF1) | CH3N: PB1 (AF1), PB15 (AF1), PE12 (AF1)</t>
  </si>
  <si>
    <t xml:space="preserve">PA12 (AF1), PE7 (AF1)</t>
  </si>
  <si>
    <t xml:space="preserve">PA6 (AF1), PB12 (AF1), PE15 (AF1)</t>
  </si>
  <si>
    <t xml:space="preserve">RCC_APB2ENR bit 1 (TIM8EN)</t>
  </si>
  <si>
    <t xml:space="preserve">PC6 (AF3), PI5 (AF3)</t>
  </si>
  <si>
    <t xml:space="preserve">PC7 (AF3), PI6 (AF3)</t>
  </si>
  <si>
    <t xml:space="preserve">PC8 (AF3), PI7 (AF3)</t>
  </si>
  <si>
    <t xml:space="preserve">PC9 (AF3), PI2 (AF3)</t>
  </si>
  <si>
    <t xml:space="preserve">CH1N: PA5 (AF3), PA7 (AF3), PH13 (AF3) | CH2N: PB0 (AF3), PB14 (AF3), PH14 (AF3) | CH3N: PB1 (AF3), PB15 (AF3), PH15 (AF3)</t>
  </si>
  <si>
    <t xml:space="preserve">PA0 (AF3), PI3 (AF3)</t>
  </si>
  <si>
    <t xml:space="preserve">PA6 (AF3), PI4 (AF3)</t>
  </si>
  <si>
    <t xml:space="preserve">General purpose</t>
  </si>
  <si>
    <t xml:space="preserve">32-bit</t>
  </si>
  <si>
    <t xml:space="preserve">Tidak</t>
  </si>
  <si>
    <t xml:space="preserve">RCC_APB1ENR bit 0 (TIM2EN)</t>
  </si>
  <si>
    <t xml:space="preserve">PA0 (AF1), PA5 (AF1), PA15 (AF1)</t>
  </si>
  <si>
    <t xml:space="preserve">PA1 (AF1), PB3 (AF1)</t>
  </si>
  <si>
    <t xml:space="preserve">PA2 (AF1), PB10 (AF1)</t>
  </si>
  <si>
    <t xml:space="preserve">PA3 (AF1), PB11 (AF1)</t>
  </si>
  <si>
    <t xml:space="preserve">RCC_APB1ENR bit 1 (TIM3EN)</t>
  </si>
  <si>
    <t xml:space="preserve">PA6 (AF2), PB4 (AF2), PC6 (AF2)</t>
  </si>
  <si>
    <t xml:space="preserve">PA7 (AF2), PB5 (AF2), PC7 (AF2)</t>
  </si>
  <si>
    <t xml:space="preserve">PB0 (AF2), PC8 (AF2)</t>
  </si>
  <si>
    <t xml:space="preserve">PB1 (AF2), PC9 (AF2)</t>
  </si>
  <si>
    <t xml:space="preserve">PD2 (AF2)</t>
  </si>
  <si>
    <t xml:space="preserve">RCC_APB1ENR bit 2 (TIM4EN)</t>
  </si>
  <si>
    <t xml:space="preserve">PB6 (AF2), PD12 (AF2)</t>
  </si>
  <si>
    <t xml:space="preserve">PB7 (AF2), PD13 (AF2)</t>
  </si>
  <si>
    <t xml:space="preserve">PB8 (AF2), PD14 (AF2)</t>
  </si>
  <si>
    <t xml:space="preserve">PB9 (AF2), PD15 (AF2)</t>
  </si>
  <si>
    <t xml:space="preserve">PE0 (AF2)</t>
  </si>
  <si>
    <t xml:space="preserve">RCC_APB1ENR bit 3 (TIM5EN)</t>
  </si>
  <si>
    <t xml:space="preserve">PA0 (AF2), PH10 (AF2)</t>
  </si>
  <si>
    <t xml:space="preserve">PA1 (AF2), PH11 (AF2)</t>
  </si>
  <si>
    <t xml:space="preserve">PA2 (AF2), PH12 (AF2)</t>
  </si>
  <si>
    <t xml:space="preserve">PA3 (AF2), PI0 (AF2)</t>
  </si>
  <si>
    <t xml:space="preserve">Up</t>
  </si>
  <si>
    <t xml:space="preserve">RCC_APB2ENR bit 16 (TIM9EN)</t>
  </si>
  <si>
    <t xml:space="preserve">PA2 (AF3), PE5 (AF3)</t>
  </si>
  <si>
    <t xml:space="preserve">PA3 (AF3), PE6 (AF3)</t>
  </si>
  <si>
    <t xml:space="preserve">RCC_APB2ENR bit 17 (TIM10EN)</t>
  </si>
  <si>
    <t xml:space="preserve">PB8 (AF3), PF6 (AF3)</t>
  </si>
  <si>
    <t xml:space="preserve">RCC_APB2ENR bit 18 (TIM11EN)</t>
  </si>
  <si>
    <t xml:space="preserve">PB9 (AF3), PF7 (AF3)</t>
  </si>
  <si>
    <t xml:space="preserve">RCC_APB1ENR bit 6 (TIM12EN)</t>
  </si>
  <si>
    <t xml:space="preserve">PB14 (AF9), PH6 (AF9)</t>
  </si>
  <si>
    <t xml:space="preserve">PB15 (AF9), PH9 (AF9)</t>
  </si>
  <si>
    <t xml:space="preserve">RCC_APB1ENR bit 7 (TIM13EN)</t>
  </si>
  <si>
    <t xml:space="preserve">PA6 (AF9), PF8 (AF9)</t>
  </si>
  <si>
    <t xml:space="preserve">RCC_APB1ENR bit 8 (TIM14EN)</t>
  </si>
  <si>
    <t xml:space="preserve">PA7 (AF9), PF9 (AF9)</t>
  </si>
  <si>
    <t xml:space="preserve">Basic</t>
  </si>
  <si>
    <t xml:space="preserve">RCC_APB1ENR bit 4 (TIM6EN)</t>
  </si>
  <si>
    <t xml:space="preserve">RCC_APB1ENR bit 5 (TIM7EN)</t>
  </si>
  <si>
    <t xml:space="preserve">Rumus PWM</t>
  </si>
  <si>
    <t xml:space="preserve">Frekuensi PWM = clock timer / ((PSC + 1) × (ARR + 1))     Duty cycle = CCRx / (ARR + 1)</t>
  </si>
  <si>
    <t xml:space="preserve">Kalkulator PWM (isi sel kuning)</t>
  </si>
  <si>
    <t xml:space="preserve">Clock timer (Hz)</t>
  </si>
  <si>
    <t xml:space="preserve">Contoh: HSI 16 MHz setelah reset</t>
  </si>
  <si>
    <t xml:space="preserve">Frekuensi PWM (Hz)</t>
  </si>
  <si>
    <t xml:space="preserve">Duty cycle</t>
  </si>
  <si>
    <t xml:space="preserve">Periode (ms)</t>
  </si>
  <si>
    <t xml:space="preserve">Kalkulator Alamat Register</t>
  </si>
  <si>
    <t xml:space="preserve">Isi dua sel kuning. Nama peripheral harus sama persis dengan kolom Peripheral (mis. GPIOD, TIM3, USART2, RCC, SysTick).</t>
  </si>
  <si>
    <t xml:space="preserve">ALAMAT REGISTER</t>
  </si>
  <si>
    <t xml:space="preserve">Baris untuk kode 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</si>
</sst>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Consolas"/>
      <family val="0"/>
      <charset val="1"/>
    </font>
    <font>
      <sz val="8"/>
      <color rgb="FF888888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name val="Arial"/>
      <family val="0"/>
      <charset val="1"/>
    </font>
    <font>
      <sz val="9"/>
      <color rgb="FFBBBBBB"/>
      <name val="Arial"/>
      <family val="0"/>
      <charset val="1"/>
    </font>
    <font>
      <sz val="9"/>
      <name val="Arial"/>
      <family val="0"/>
      <charset val="1"/>
    </font>
    <font>
      <sz val="9"/>
      <color rgb="FF9C0006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A5F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CE6F1"/>
        <bgColor rgb="FFCC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 diagonalUp="false" diagonalDown="false">
      <left style="thin">
        <color rgb="FFB7C3D0"/>
      </left>
      <right style="thin">
        <color rgb="FFB7C3D0"/>
      </right>
      <top style="medium">
        <color rgb="FF1F3A5F"/>
      </top>
      <bottom style="thin">
        <color rgb="FFB7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BBBBB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FCC"/>
      <rgbColor rgb="FFDCE6F1"/>
      <rgbColor rgb="FF660066"/>
      <rgbColor rgb="FFFF8080"/>
      <rgbColor rgb="FF0066CC"/>
      <rgbColor rgb="FFB7C3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A6" s="3" t="s">
        <v>5</v>
      </c>
      <c r="B6" s="4" t="s">
        <v>6</v>
      </c>
    </row>
    <row r="7" customFormat="false" ht="23.8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3" t="s">
        <v>13</v>
      </c>
      <c r="B10" s="4" t="s">
        <v>14</v>
      </c>
    </row>
    <row r="11" customFormat="false" ht="15" hidden="false" customHeight="false" outlineLevel="0" collapsed="false">
      <c r="A11" s="3" t="s">
        <v>15</v>
      </c>
      <c r="B11" s="4" t="s">
        <v>16</v>
      </c>
    </row>
    <row r="12" customFormat="false" ht="15" hidden="false" customHeight="false" outlineLevel="0" collapsed="false">
      <c r="A12" s="3" t="s">
        <v>17</v>
      </c>
      <c r="B12" s="4" t="s">
        <v>18</v>
      </c>
    </row>
    <row r="13" customFormat="false" ht="15" hidden="false" customHeight="false" outlineLevel="0" collapsed="false">
      <c r="A13" s="3"/>
      <c r="B13" s="4"/>
    </row>
    <row r="14" customFormat="false" ht="15" hidden="false" customHeight="false" outlineLevel="0" collapsed="false">
      <c r="A14" s="3" t="s">
        <v>19</v>
      </c>
      <c r="B14" s="4" t="s">
        <v>20</v>
      </c>
    </row>
    <row r="15" customFormat="false" ht="15" hidden="false" customHeight="false" outlineLevel="0" collapsed="false">
      <c r="A15" s="3" t="s">
        <v>21</v>
      </c>
      <c r="B15" s="4" t="s">
        <v>22</v>
      </c>
    </row>
    <row r="16" customFormat="false" ht="15" hidden="false" customHeight="false" outlineLevel="0" collapsed="false">
      <c r="A16" s="3"/>
      <c r="B16" s="4"/>
    </row>
    <row r="17" customFormat="false" ht="23.85" hidden="false" customHeight="false" outlineLevel="0" collapsed="false">
      <c r="A17" s="3" t="s">
        <v>23</v>
      </c>
      <c r="B17" s="4" t="s">
        <v>24</v>
      </c>
    </row>
    <row r="18" customFormat="false" ht="23.85" hidden="false" customHeight="false" outlineLevel="0" collapsed="false">
      <c r="A18" s="3"/>
      <c r="B18" s="4" t="s">
        <v>25</v>
      </c>
    </row>
    <row r="19" customFormat="false" ht="23.85" hidden="false" customHeight="false" outlineLevel="0" collapsed="false">
      <c r="A19" s="3" t="s">
        <v>26</v>
      </c>
      <c r="B19" s="4" t="s">
        <v>27</v>
      </c>
    </row>
    <row r="20" customFormat="false" ht="23.85" hidden="false" customHeight="false" outlineLevel="0" collapsed="false">
      <c r="A20" s="3" t="s">
        <v>28</v>
      </c>
      <c r="B20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70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5" t="s">
        <v>32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</row>
    <row r="5" customFormat="false" ht="15" hidden="false" customHeight="false" outlineLevel="0" collapsed="false">
      <c r="A5" s="6" t="s">
        <v>38</v>
      </c>
      <c r="B5" s="7" t="s">
        <v>39</v>
      </c>
      <c r="C5" s="7" t="s">
        <v>40</v>
      </c>
      <c r="D5" s="6" t="s">
        <v>41</v>
      </c>
      <c r="E5" s="6" t="s">
        <v>42</v>
      </c>
      <c r="F5" s="6" t="s">
        <v>43</v>
      </c>
    </row>
    <row r="6" customFormat="false" ht="15" hidden="false" customHeight="false" outlineLevel="0" collapsed="false">
      <c r="A6" s="6" t="s">
        <v>44</v>
      </c>
      <c r="B6" s="7" t="s">
        <v>45</v>
      </c>
      <c r="C6" s="7" t="s">
        <v>46</v>
      </c>
      <c r="D6" s="6" t="s">
        <v>47</v>
      </c>
      <c r="E6" s="6" t="s">
        <v>48</v>
      </c>
      <c r="F6" s="6" t="s">
        <v>49</v>
      </c>
    </row>
    <row r="7" customFormat="false" ht="15" hidden="false" customHeight="false" outlineLevel="0" collapsed="false">
      <c r="A7" s="6" t="s">
        <v>50</v>
      </c>
      <c r="B7" s="7" t="s">
        <v>51</v>
      </c>
      <c r="C7" s="7" t="s">
        <v>52</v>
      </c>
      <c r="D7" s="6" t="s">
        <v>53</v>
      </c>
      <c r="E7" s="6" t="s">
        <v>54</v>
      </c>
      <c r="F7" s="6" t="s">
        <v>55</v>
      </c>
    </row>
    <row r="8" customFormat="false" ht="15" hidden="false" customHeight="false" outlineLevel="0" collapsed="false">
      <c r="A8" s="6" t="s">
        <v>56</v>
      </c>
      <c r="B8" s="7" t="s">
        <v>57</v>
      </c>
      <c r="C8" s="7" t="s">
        <v>58</v>
      </c>
      <c r="D8" s="6" t="s">
        <v>59</v>
      </c>
      <c r="E8" s="6" t="s">
        <v>60</v>
      </c>
      <c r="F8" s="6" t="s">
        <v>43</v>
      </c>
    </row>
    <row r="9" customFormat="false" ht="15" hidden="false" customHeight="false" outlineLevel="0" collapsed="false">
      <c r="A9" s="6" t="s">
        <v>61</v>
      </c>
      <c r="B9" s="7" t="s">
        <v>62</v>
      </c>
      <c r="C9" s="7" t="s">
        <v>63</v>
      </c>
      <c r="D9" s="6" t="s">
        <v>64</v>
      </c>
      <c r="E9" s="6" t="s">
        <v>65</v>
      </c>
      <c r="F9" s="6" t="s">
        <v>43</v>
      </c>
    </row>
    <row r="10" customFormat="false" ht="15" hidden="false" customHeight="false" outlineLevel="0" collapsed="false">
      <c r="A10" s="6" t="s">
        <v>66</v>
      </c>
      <c r="B10" s="7" t="s">
        <v>67</v>
      </c>
      <c r="C10" s="7" t="s">
        <v>68</v>
      </c>
      <c r="D10" s="6" t="s">
        <v>69</v>
      </c>
      <c r="E10" s="6" t="s">
        <v>70</v>
      </c>
      <c r="F10" s="6" t="s">
        <v>43</v>
      </c>
    </row>
    <row r="11" customFormat="false" ht="15" hidden="false" customHeight="false" outlineLevel="0" collapsed="false">
      <c r="A11" s="6" t="s">
        <v>71</v>
      </c>
      <c r="B11" s="7" t="s">
        <v>72</v>
      </c>
      <c r="C11" s="7" t="s">
        <v>73</v>
      </c>
      <c r="D11" s="6" t="s">
        <v>74</v>
      </c>
      <c r="E11" s="6" t="s">
        <v>75</v>
      </c>
      <c r="F11" s="6" t="s">
        <v>43</v>
      </c>
    </row>
    <row r="12" customFormat="false" ht="15" hidden="false" customHeight="false" outlineLevel="0" collapsed="false">
      <c r="A12" s="6" t="s">
        <v>76</v>
      </c>
      <c r="B12" s="7" t="s">
        <v>77</v>
      </c>
      <c r="C12" s="7" t="s">
        <v>78</v>
      </c>
      <c r="D12" s="6" t="s">
        <v>79</v>
      </c>
      <c r="E12" s="6" t="s">
        <v>80</v>
      </c>
      <c r="F12" s="6" t="s">
        <v>81</v>
      </c>
    </row>
    <row r="13" customFormat="false" ht="15" hidden="false" customHeight="false" outlineLevel="0" collapsed="false">
      <c r="A13" s="6" t="s">
        <v>82</v>
      </c>
      <c r="B13" s="7" t="s">
        <v>83</v>
      </c>
      <c r="C13" s="7" t="s">
        <v>84</v>
      </c>
      <c r="D13" s="6" t="s">
        <v>85</v>
      </c>
      <c r="E13" s="6" t="s">
        <v>86</v>
      </c>
      <c r="F13" s="6" t="s">
        <v>81</v>
      </c>
    </row>
    <row r="14" customFormat="false" ht="15" hidden="false" customHeight="false" outlineLevel="0" collapsed="false">
      <c r="A14" s="6" t="s">
        <v>87</v>
      </c>
      <c r="B14" s="7" t="s">
        <v>88</v>
      </c>
      <c r="C14" s="7" t="s">
        <v>89</v>
      </c>
      <c r="D14" s="6" t="s">
        <v>43</v>
      </c>
      <c r="E14" s="6" t="s">
        <v>90</v>
      </c>
      <c r="F14" s="6" t="s">
        <v>91</v>
      </c>
    </row>
    <row r="15" customFormat="false" ht="15" hidden="false" customHeight="false" outlineLevel="0" collapsed="false">
      <c r="A15" s="6" t="s">
        <v>92</v>
      </c>
      <c r="B15" s="7" t="s">
        <v>93</v>
      </c>
      <c r="C15" s="7" t="s">
        <v>94</v>
      </c>
      <c r="D15" s="6" t="s">
        <v>43</v>
      </c>
      <c r="E15" s="6" t="s">
        <v>95</v>
      </c>
      <c r="F15" s="6" t="s">
        <v>91</v>
      </c>
    </row>
    <row r="16" customFormat="false" ht="15" hidden="false" customHeight="false" outlineLevel="0" collapsed="false">
      <c r="A16" s="6" t="s">
        <v>96</v>
      </c>
      <c r="B16" s="7" t="s">
        <v>97</v>
      </c>
      <c r="C16" s="7" t="s">
        <v>98</v>
      </c>
      <c r="D16" s="6" t="s">
        <v>43</v>
      </c>
      <c r="E16" s="6" t="s">
        <v>99</v>
      </c>
      <c r="F16" s="6" t="s">
        <v>91</v>
      </c>
    </row>
    <row r="17" customFormat="false" ht="15" hidden="false" customHeight="false" outlineLevel="0" collapsed="false">
      <c r="A17" s="6" t="s">
        <v>100</v>
      </c>
      <c r="B17" s="7" t="s">
        <v>101</v>
      </c>
      <c r="C17" s="7" t="s">
        <v>102</v>
      </c>
      <c r="D17" s="6" t="s">
        <v>103</v>
      </c>
      <c r="E17" s="6" t="s">
        <v>104</v>
      </c>
      <c r="F17" s="6" t="s">
        <v>43</v>
      </c>
    </row>
    <row r="18" customFormat="false" ht="15" hidden="false" customHeight="false" outlineLevel="0" collapsed="false">
      <c r="A18" s="6" t="s">
        <v>105</v>
      </c>
      <c r="B18" s="7" t="s">
        <v>106</v>
      </c>
      <c r="C18" s="7" t="s">
        <v>107</v>
      </c>
      <c r="D18" s="6" t="s">
        <v>43</v>
      </c>
      <c r="E18" s="6" t="s">
        <v>108</v>
      </c>
      <c r="F18" s="6" t="s">
        <v>91</v>
      </c>
    </row>
    <row r="19" customFormat="false" ht="15" hidden="false" customHeight="false" outlineLevel="0" collapsed="false">
      <c r="A19" s="6" t="s">
        <v>109</v>
      </c>
      <c r="B19" s="7" t="s">
        <v>110</v>
      </c>
      <c r="C19" s="7" t="s">
        <v>111</v>
      </c>
      <c r="D19" s="6" t="s">
        <v>43</v>
      </c>
      <c r="E19" s="6" t="s">
        <v>112</v>
      </c>
      <c r="F19" s="6" t="s">
        <v>43</v>
      </c>
    </row>
    <row r="20" customFormat="false" ht="15" hidden="false" customHeight="false" outlineLevel="0" collapsed="false">
      <c r="A20" s="6" t="s">
        <v>113</v>
      </c>
      <c r="B20" s="7" t="s">
        <v>114</v>
      </c>
      <c r="C20" s="7" t="s">
        <v>115</v>
      </c>
      <c r="D20" s="6" t="s">
        <v>41</v>
      </c>
      <c r="E20" s="6" t="s">
        <v>116</v>
      </c>
      <c r="F20" s="6" t="s">
        <v>117</v>
      </c>
    </row>
    <row r="22" customFormat="false" ht="15" hidden="false" customHeight="false" outlineLevel="0" collapsed="false">
      <c r="A22" s="3" t="s">
        <v>118</v>
      </c>
      <c r="B22" s="8" t="n">
        <f aca="false">HEX2DEC(SUBSTITUTE(C13,"0x",""))-HEX2DEC(SUBSTITUTE(B12,"0x",""))+1</f>
        <v>131072</v>
      </c>
      <c r="C22" s="8" t="s">
        <v>119</v>
      </c>
    </row>
    <row r="23" customFormat="false" ht="15" hidden="false" customHeight="false" outlineLevel="0" collapsed="false">
      <c r="A23" s="3" t="s">
        <v>120</v>
      </c>
      <c r="B23" s="8" t="n">
        <f aca="false">B22/1024</f>
        <v>128</v>
      </c>
      <c r="C23" s="8" t="s">
        <v>121</v>
      </c>
    </row>
  </sheetData>
  <autoFilter ref="A4:F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62"/>
    <col collapsed="false" customWidth="true" hidden="false" outlineLevel="0" max="8" min="7" style="0" width="26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23.85" hidden="false" customHeight="false" outlineLevel="0" collapsed="false">
      <c r="A4" s="5" t="s">
        <v>124</v>
      </c>
      <c r="B4" s="5" t="s">
        <v>5</v>
      </c>
      <c r="C4" s="5" t="s">
        <v>125</v>
      </c>
      <c r="D4" s="5" t="s">
        <v>34</v>
      </c>
      <c r="E4" s="5" t="s">
        <v>126</v>
      </c>
      <c r="F4" s="5" t="s">
        <v>127</v>
      </c>
      <c r="G4" s="5" t="s">
        <v>128</v>
      </c>
      <c r="H4" s="5" t="s">
        <v>129</v>
      </c>
    </row>
    <row r="5" customFormat="false" ht="23.85" hidden="false" customHeight="false" outlineLevel="0" collapsed="false">
      <c r="A5" s="6" t="s">
        <v>130</v>
      </c>
      <c r="B5" s="6" t="s">
        <v>113</v>
      </c>
      <c r="C5" s="7" t="s">
        <v>114</v>
      </c>
      <c r="D5" s="7" t="s">
        <v>115</v>
      </c>
      <c r="E5" s="6" t="s">
        <v>43</v>
      </c>
      <c r="F5" s="6" t="s">
        <v>131</v>
      </c>
      <c r="G5" s="6" t="s">
        <v>43</v>
      </c>
      <c r="H5" s="6" t="s">
        <v>43</v>
      </c>
    </row>
    <row r="6" customFormat="false" ht="15" hidden="false" customHeight="false" outlineLevel="0" collapsed="false">
      <c r="A6" s="6" t="s">
        <v>130</v>
      </c>
      <c r="B6" s="6" t="s">
        <v>132</v>
      </c>
      <c r="C6" s="7" t="s">
        <v>133</v>
      </c>
      <c r="D6" s="7" t="s">
        <v>134</v>
      </c>
      <c r="E6" s="6" t="s">
        <v>135</v>
      </c>
      <c r="F6" s="6" t="s">
        <v>136</v>
      </c>
      <c r="G6" s="6" t="s">
        <v>137</v>
      </c>
      <c r="H6" s="6" t="s">
        <v>43</v>
      </c>
    </row>
    <row r="7" customFormat="false" ht="15" hidden="false" customHeight="false" outlineLevel="0" collapsed="false">
      <c r="A7" s="6" t="s">
        <v>130</v>
      </c>
      <c r="B7" s="6" t="s">
        <v>138</v>
      </c>
      <c r="C7" s="7" t="s">
        <v>139</v>
      </c>
      <c r="D7" s="7" t="s">
        <v>140</v>
      </c>
      <c r="E7" s="6" t="s">
        <v>138</v>
      </c>
      <c r="F7" s="6" t="s">
        <v>141</v>
      </c>
      <c r="G7" s="6" t="s">
        <v>137</v>
      </c>
      <c r="H7" s="6" t="s">
        <v>43</v>
      </c>
    </row>
    <row r="8" customFormat="false" ht="23.85" hidden="false" customHeight="false" outlineLevel="0" collapsed="false">
      <c r="A8" s="6" t="s">
        <v>130</v>
      </c>
      <c r="B8" s="6" t="s">
        <v>142</v>
      </c>
      <c r="C8" s="7" t="s">
        <v>143</v>
      </c>
      <c r="D8" s="7" t="s">
        <v>144</v>
      </c>
      <c r="E8" s="6" t="s">
        <v>142</v>
      </c>
      <c r="F8" s="6" t="s">
        <v>145</v>
      </c>
      <c r="G8" s="6" t="s">
        <v>137</v>
      </c>
      <c r="H8" s="6" t="s">
        <v>43</v>
      </c>
    </row>
    <row r="9" customFormat="false" ht="15" hidden="false" customHeight="false" outlineLevel="0" collapsed="false">
      <c r="A9" s="6" t="s">
        <v>146</v>
      </c>
      <c r="B9" s="6" t="s">
        <v>147</v>
      </c>
      <c r="C9" s="7" t="s">
        <v>148</v>
      </c>
      <c r="D9" s="7" t="s">
        <v>111</v>
      </c>
      <c r="E9" s="6" t="s">
        <v>43</v>
      </c>
      <c r="F9" s="6" t="s">
        <v>149</v>
      </c>
      <c r="G9" s="6" t="s">
        <v>150</v>
      </c>
      <c r="H9" s="6" t="s">
        <v>151</v>
      </c>
    </row>
    <row r="10" customFormat="false" ht="15" hidden="false" customHeight="false" outlineLevel="0" collapsed="false">
      <c r="A10" s="6" t="s">
        <v>146</v>
      </c>
      <c r="B10" s="6" t="s">
        <v>152</v>
      </c>
      <c r="C10" s="7" t="s">
        <v>153</v>
      </c>
      <c r="D10" s="7" t="s">
        <v>154</v>
      </c>
      <c r="E10" s="6" t="s">
        <v>43</v>
      </c>
      <c r="F10" s="6" t="s">
        <v>155</v>
      </c>
      <c r="G10" s="6" t="s">
        <v>150</v>
      </c>
      <c r="H10" s="6" t="s">
        <v>151</v>
      </c>
    </row>
    <row r="11" customFormat="false" ht="15" hidden="false" customHeight="false" outlineLevel="0" collapsed="false">
      <c r="A11" s="6" t="s">
        <v>146</v>
      </c>
      <c r="B11" s="6" t="s">
        <v>156</v>
      </c>
      <c r="C11" s="7" t="s">
        <v>157</v>
      </c>
      <c r="D11" s="7" t="s">
        <v>158</v>
      </c>
      <c r="E11" s="6" t="s">
        <v>43</v>
      </c>
      <c r="F11" s="6" t="s">
        <v>159</v>
      </c>
      <c r="G11" s="6" t="s">
        <v>150</v>
      </c>
      <c r="H11" s="6" t="s">
        <v>151</v>
      </c>
    </row>
    <row r="12" customFormat="false" ht="15" hidden="false" customHeight="false" outlineLevel="0" collapsed="false">
      <c r="A12" s="6" t="s">
        <v>146</v>
      </c>
      <c r="B12" s="6" t="s">
        <v>160</v>
      </c>
      <c r="C12" s="7" t="s">
        <v>161</v>
      </c>
      <c r="D12" s="7" t="s">
        <v>162</v>
      </c>
      <c r="E12" s="6" t="s">
        <v>43</v>
      </c>
      <c r="F12" s="6" t="s">
        <v>159</v>
      </c>
      <c r="G12" s="6" t="s">
        <v>150</v>
      </c>
      <c r="H12" s="6" t="s">
        <v>151</v>
      </c>
    </row>
    <row r="13" customFormat="false" ht="15" hidden="false" customHeight="false" outlineLevel="0" collapsed="false">
      <c r="A13" s="6" t="s">
        <v>146</v>
      </c>
      <c r="B13" s="6" t="s">
        <v>163</v>
      </c>
      <c r="C13" s="7" t="s">
        <v>110</v>
      </c>
      <c r="D13" s="7" t="s">
        <v>164</v>
      </c>
      <c r="E13" s="6" t="s">
        <v>43</v>
      </c>
      <c r="F13" s="6" t="s">
        <v>165</v>
      </c>
      <c r="G13" s="6" t="s">
        <v>150</v>
      </c>
      <c r="H13" s="6" t="s">
        <v>151</v>
      </c>
    </row>
    <row r="14" customFormat="false" ht="15" hidden="false" customHeight="false" outlineLevel="0" collapsed="false">
      <c r="A14" s="6" t="s">
        <v>166</v>
      </c>
      <c r="B14" s="6" t="s">
        <v>167</v>
      </c>
      <c r="C14" s="7" t="s">
        <v>168</v>
      </c>
      <c r="D14" s="7" t="s">
        <v>107</v>
      </c>
      <c r="E14" s="6" t="s">
        <v>43</v>
      </c>
      <c r="F14" s="6" t="s">
        <v>169</v>
      </c>
      <c r="G14" s="6" t="s">
        <v>170</v>
      </c>
      <c r="H14" s="6" t="s">
        <v>171</v>
      </c>
    </row>
    <row r="15" customFormat="false" ht="15" hidden="false" customHeight="false" outlineLevel="0" collapsed="false">
      <c r="A15" s="6" t="s">
        <v>166</v>
      </c>
      <c r="B15" s="6" t="s">
        <v>172</v>
      </c>
      <c r="C15" s="7" t="s">
        <v>173</v>
      </c>
      <c r="D15" s="7" t="s">
        <v>174</v>
      </c>
      <c r="E15" s="6" t="s">
        <v>43</v>
      </c>
      <c r="F15" s="6" t="s">
        <v>175</v>
      </c>
      <c r="G15" s="6" t="s">
        <v>170</v>
      </c>
      <c r="H15" s="6" t="s">
        <v>176</v>
      </c>
    </row>
    <row r="16" customFormat="false" ht="15" hidden="false" customHeight="false" outlineLevel="0" collapsed="false">
      <c r="A16" s="6" t="s">
        <v>166</v>
      </c>
      <c r="B16" s="6" t="s">
        <v>177</v>
      </c>
      <c r="C16" s="7" t="s">
        <v>106</v>
      </c>
      <c r="D16" s="7" t="s">
        <v>178</v>
      </c>
      <c r="E16" s="6" t="s">
        <v>43</v>
      </c>
      <c r="F16" s="6" t="s">
        <v>179</v>
      </c>
      <c r="G16" s="6" t="s">
        <v>170</v>
      </c>
      <c r="H16" s="6" t="s">
        <v>180</v>
      </c>
    </row>
    <row r="17" customFormat="false" ht="15" hidden="false" customHeight="false" outlineLevel="0" collapsed="false">
      <c r="A17" s="6" t="s">
        <v>181</v>
      </c>
      <c r="B17" s="6" t="s">
        <v>182</v>
      </c>
      <c r="C17" s="7" t="s">
        <v>183</v>
      </c>
      <c r="D17" s="7" t="s">
        <v>98</v>
      </c>
      <c r="E17" s="6" t="s">
        <v>43</v>
      </c>
      <c r="F17" s="6" t="s">
        <v>184</v>
      </c>
      <c r="G17" s="6" t="s">
        <v>185</v>
      </c>
      <c r="H17" s="6" t="s">
        <v>186</v>
      </c>
    </row>
    <row r="18" customFormat="false" ht="15" hidden="false" customHeight="false" outlineLevel="0" collapsed="false">
      <c r="A18" s="6" t="s">
        <v>181</v>
      </c>
      <c r="B18" s="6" t="s">
        <v>187</v>
      </c>
      <c r="C18" s="7" t="s">
        <v>188</v>
      </c>
      <c r="D18" s="7" t="s">
        <v>189</v>
      </c>
      <c r="E18" s="6" t="s">
        <v>43</v>
      </c>
      <c r="F18" s="6" t="s">
        <v>190</v>
      </c>
      <c r="G18" s="6" t="s">
        <v>185</v>
      </c>
      <c r="H18" s="6" t="s">
        <v>191</v>
      </c>
    </row>
    <row r="19" customFormat="false" ht="15" hidden="false" customHeight="false" outlineLevel="0" collapsed="false">
      <c r="A19" s="6" t="s">
        <v>181</v>
      </c>
      <c r="B19" s="6" t="s">
        <v>192</v>
      </c>
      <c r="C19" s="7" t="s">
        <v>193</v>
      </c>
      <c r="D19" s="7" t="s">
        <v>194</v>
      </c>
      <c r="E19" s="6" t="s">
        <v>43</v>
      </c>
      <c r="F19" s="6" t="s">
        <v>195</v>
      </c>
      <c r="G19" s="6" t="s">
        <v>185</v>
      </c>
      <c r="H19" s="6" t="s">
        <v>196</v>
      </c>
    </row>
    <row r="20" customFormat="false" ht="15" hidden="false" customHeight="false" outlineLevel="0" collapsed="false">
      <c r="A20" s="6" t="s">
        <v>181</v>
      </c>
      <c r="B20" s="6" t="s">
        <v>197</v>
      </c>
      <c r="C20" s="7" t="s">
        <v>198</v>
      </c>
      <c r="D20" s="7" t="s">
        <v>199</v>
      </c>
      <c r="E20" s="6" t="s">
        <v>43</v>
      </c>
      <c r="F20" s="6" t="s">
        <v>200</v>
      </c>
      <c r="G20" s="6" t="s">
        <v>185</v>
      </c>
      <c r="H20" s="6" t="s">
        <v>201</v>
      </c>
    </row>
    <row r="21" customFormat="false" ht="15" hidden="false" customHeight="false" outlineLevel="0" collapsed="false">
      <c r="A21" s="6" t="s">
        <v>181</v>
      </c>
      <c r="B21" s="6" t="s">
        <v>202</v>
      </c>
      <c r="C21" s="7" t="s">
        <v>101</v>
      </c>
      <c r="D21" s="7" t="s">
        <v>102</v>
      </c>
      <c r="E21" s="6" t="s">
        <v>43</v>
      </c>
      <c r="F21" s="6" t="s">
        <v>203</v>
      </c>
      <c r="G21" s="6" t="s">
        <v>185</v>
      </c>
      <c r="H21" s="6" t="s">
        <v>204</v>
      </c>
    </row>
    <row r="22" customFormat="false" ht="15" hidden="false" customHeight="false" outlineLevel="0" collapsed="false">
      <c r="A22" s="6" t="s">
        <v>181</v>
      </c>
      <c r="B22" s="6" t="s">
        <v>205</v>
      </c>
      <c r="C22" s="7" t="s">
        <v>206</v>
      </c>
      <c r="D22" s="7" t="s">
        <v>207</v>
      </c>
      <c r="E22" s="6" t="s">
        <v>208</v>
      </c>
      <c r="F22" s="6" t="s">
        <v>209</v>
      </c>
      <c r="G22" s="6" t="s">
        <v>137</v>
      </c>
      <c r="H22" s="6" t="s">
        <v>43</v>
      </c>
    </row>
    <row r="23" customFormat="false" ht="15" hidden="false" customHeight="false" outlineLevel="0" collapsed="false">
      <c r="A23" s="6" t="s">
        <v>181</v>
      </c>
      <c r="B23" s="6" t="s">
        <v>210</v>
      </c>
      <c r="C23" s="7" t="s">
        <v>211</v>
      </c>
      <c r="D23" s="7" t="s">
        <v>212</v>
      </c>
      <c r="E23" s="6" t="s">
        <v>210</v>
      </c>
      <c r="F23" s="6" t="s">
        <v>213</v>
      </c>
      <c r="G23" s="6" t="s">
        <v>137</v>
      </c>
      <c r="H23" s="6" t="s">
        <v>43</v>
      </c>
    </row>
    <row r="24" customFormat="false" ht="15" hidden="false" customHeight="false" outlineLevel="0" collapsed="false">
      <c r="A24" s="6" t="s">
        <v>181</v>
      </c>
      <c r="B24" s="6" t="s">
        <v>214</v>
      </c>
      <c r="C24" s="7" t="s">
        <v>215</v>
      </c>
      <c r="D24" s="7" t="s">
        <v>216</v>
      </c>
      <c r="E24" s="6" t="s">
        <v>43</v>
      </c>
      <c r="F24" s="6" t="s">
        <v>217</v>
      </c>
      <c r="G24" s="6" t="s">
        <v>185</v>
      </c>
      <c r="H24" s="6" t="s">
        <v>218</v>
      </c>
    </row>
    <row r="25" customFormat="false" ht="15" hidden="false" customHeight="false" outlineLevel="0" collapsed="false">
      <c r="A25" s="6" t="s">
        <v>181</v>
      </c>
      <c r="B25" s="6" t="s">
        <v>219</v>
      </c>
      <c r="C25" s="7" t="s">
        <v>220</v>
      </c>
      <c r="D25" s="7" t="s">
        <v>221</v>
      </c>
      <c r="E25" s="6" t="s">
        <v>222</v>
      </c>
      <c r="F25" s="6" t="s">
        <v>223</v>
      </c>
      <c r="G25" s="6" t="s">
        <v>185</v>
      </c>
      <c r="H25" s="6" t="s">
        <v>224</v>
      </c>
    </row>
    <row r="26" customFormat="false" ht="15" hidden="false" customHeight="false" outlineLevel="0" collapsed="false">
      <c r="A26" s="6" t="s">
        <v>181</v>
      </c>
      <c r="B26" s="6" t="s">
        <v>225</v>
      </c>
      <c r="C26" s="7" t="s">
        <v>226</v>
      </c>
      <c r="D26" s="7" t="s">
        <v>227</v>
      </c>
      <c r="E26" s="6" t="s">
        <v>222</v>
      </c>
      <c r="F26" s="6" t="s">
        <v>228</v>
      </c>
      <c r="G26" s="6" t="s">
        <v>185</v>
      </c>
      <c r="H26" s="6" t="s">
        <v>229</v>
      </c>
    </row>
    <row r="27" customFormat="false" ht="15" hidden="false" customHeight="false" outlineLevel="0" collapsed="false">
      <c r="A27" s="6" t="s">
        <v>181</v>
      </c>
      <c r="B27" s="6" t="s">
        <v>230</v>
      </c>
      <c r="C27" s="7" t="s">
        <v>231</v>
      </c>
      <c r="D27" s="7" t="s">
        <v>232</v>
      </c>
      <c r="E27" s="6" t="s">
        <v>222</v>
      </c>
      <c r="F27" s="6" t="s">
        <v>233</v>
      </c>
      <c r="G27" s="6" t="s">
        <v>185</v>
      </c>
      <c r="H27" s="6" t="s">
        <v>234</v>
      </c>
    </row>
    <row r="28" customFormat="false" ht="15" hidden="false" customHeight="false" outlineLevel="0" collapsed="false">
      <c r="A28" s="6" t="s">
        <v>181</v>
      </c>
      <c r="B28" s="6" t="s">
        <v>235</v>
      </c>
      <c r="C28" s="7" t="s">
        <v>236</v>
      </c>
      <c r="D28" s="7" t="s">
        <v>237</v>
      </c>
      <c r="E28" s="6" t="s">
        <v>222</v>
      </c>
      <c r="F28" s="6" t="s">
        <v>238</v>
      </c>
      <c r="G28" s="6" t="s">
        <v>185</v>
      </c>
      <c r="H28" s="6" t="s">
        <v>239</v>
      </c>
    </row>
    <row r="29" customFormat="false" ht="15" hidden="false" customHeight="false" outlineLevel="0" collapsed="false">
      <c r="A29" s="6" t="s">
        <v>181</v>
      </c>
      <c r="B29" s="6" t="s">
        <v>240</v>
      </c>
      <c r="C29" s="7" t="s">
        <v>241</v>
      </c>
      <c r="D29" s="7" t="s">
        <v>242</v>
      </c>
      <c r="E29" s="6" t="s">
        <v>222</v>
      </c>
      <c r="F29" s="6" t="s">
        <v>243</v>
      </c>
      <c r="G29" s="6" t="s">
        <v>185</v>
      </c>
      <c r="H29" s="6" t="s">
        <v>244</v>
      </c>
    </row>
    <row r="30" customFormat="false" ht="15" hidden="false" customHeight="false" outlineLevel="0" collapsed="false">
      <c r="A30" s="6" t="s">
        <v>181</v>
      </c>
      <c r="B30" s="6" t="s">
        <v>245</v>
      </c>
      <c r="C30" s="7" t="s">
        <v>246</v>
      </c>
      <c r="D30" s="7" t="s">
        <v>247</v>
      </c>
      <c r="E30" s="6" t="s">
        <v>222</v>
      </c>
      <c r="F30" s="6" t="s">
        <v>248</v>
      </c>
      <c r="G30" s="6" t="s">
        <v>185</v>
      </c>
      <c r="H30" s="6" t="s">
        <v>249</v>
      </c>
    </row>
    <row r="31" customFormat="false" ht="15" hidden="false" customHeight="false" outlineLevel="0" collapsed="false">
      <c r="A31" s="6" t="s">
        <v>181</v>
      </c>
      <c r="B31" s="6" t="s">
        <v>250</v>
      </c>
      <c r="C31" s="7" t="s">
        <v>251</v>
      </c>
      <c r="D31" s="7" t="s">
        <v>252</v>
      </c>
      <c r="E31" s="6" t="s">
        <v>222</v>
      </c>
      <c r="F31" s="6" t="s">
        <v>253</v>
      </c>
      <c r="G31" s="6" t="s">
        <v>185</v>
      </c>
      <c r="H31" s="6" t="s">
        <v>254</v>
      </c>
    </row>
    <row r="32" customFormat="false" ht="15" hidden="false" customHeight="false" outlineLevel="0" collapsed="false">
      <c r="A32" s="6" t="s">
        <v>181</v>
      </c>
      <c r="B32" s="6" t="s">
        <v>255</v>
      </c>
      <c r="C32" s="7" t="s">
        <v>256</v>
      </c>
      <c r="D32" s="7" t="s">
        <v>257</v>
      </c>
      <c r="E32" s="6" t="s">
        <v>222</v>
      </c>
      <c r="F32" s="6" t="s">
        <v>258</v>
      </c>
      <c r="G32" s="6" t="s">
        <v>185</v>
      </c>
      <c r="H32" s="6" t="s">
        <v>259</v>
      </c>
    </row>
    <row r="33" customFormat="false" ht="15" hidden="false" customHeight="false" outlineLevel="0" collapsed="false">
      <c r="A33" s="6" t="s">
        <v>181</v>
      </c>
      <c r="B33" s="6" t="s">
        <v>260</v>
      </c>
      <c r="C33" s="7" t="s">
        <v>97</v>
      </c>
      <c r="D33" s="7" t="s">
        <v>261</v>
      </c>
      <c r="E33" s="6" t="s">
        <v>222</v>
      </c>
      <c r="F33" s="6" t="s">
        <v>262</v>
      </c>
      <c r="G33" s="6" t="s">
        <v>185</v>
      </c>
      <c r="H33" s="6" t="s">
        <v>263</v>
      </c>
    </row>
    <row r="34" customFormat="false" ht="15" hidden="false" customHeight="false" outlineLevel="0" collapsed="false">
      <c r="A34" s="6" t="s">
        <v>264</v>
      </c>
      <c r="B34" s="6" t="s">
        <v>265</v>
      </c>
      <c r="C34" s="7" t="s">
        <v>266</v>
      </c>
      <c r="D34" s="7" t="s">
        <v>267</v>
      </c>
      <c r="E34" s="6" t="s">
        <v>268</v>
      </c>
      <c r="F34" s="6" t="s">
        <v>269</v>
      </c>
      <c r="G34" s="6" t="s">
        <v>270</v>
      </c>
      <c r="H34" s="6" t="s">
        <v>271</v>
      </c>
    </row>
    <row r="35" customFormat="false" ht="15" hidden="false" customHeight="false" outlineLevel="0" collapsed="false">
      <c r="A35" s="6" t="s">
        <v>264</v>
      </c>
      <c r="B35" s="6" t="s">
        <v>272</v>
      </c>
      <c r="C35" s="7" t="s">
        <v>273</v>
      </c>
      <c r="D35" s="7" t="s">
        <v>274</v>
      </c>
      <c r="E35" s="6" t="s">
        <v>268</v>
      </c>
      <c r="F35" s="6" t="s">
        <v>269</v>
      </c>
      <c r="G35" s="6" t="s">
        <v>270</v>
      </c>
      <c r="H35" s="6" t="s">
        <v>275</v>
      </c>
    </row>
    <row r="36" customFormat="false" ht="15" hidden="false" customHeight="false" outlineLevel="0" collapsed="false">
      <c r="A36" s="6" t="s">
        <v>264</v>
      </c>
      <c r="B36" s="6" t="s">
        <v>276</v>
      </c>
      <c r="C36" s="7" t="s">
        <v>277</v>
      </c>
      <c r="D36" s="7" t="s">
        <v>278</v>
      </c>
      <c r="E36" s="6" t="s">
        <v>268</v>
      </c>
      <c r="F36" s="6" t="s">
        <v>279</v>
      </c>
      <c r="G36" s="6" t="s">
        <v>270</v>
      </c>
      <c r="H36" s="6" t="s">
        <v>280</v>
      </c>
    </row>
    <row r="37" customFormat="false" ht="23.85" hidden="false" customHeight="false" outlineLevel="0" collapsed="false">
      <c r="A37" s="6" t="s">
        <v>264</v>
      </c>
      <c r="B37" s="6" t="s">
        <v>281</v>
      </c>
      <c r="C37" s="7" t="s">
        <v>282</v>
      </c>
      <c r="D37" s="7" t="s">
        <v>283</v>
      </c>
      <c r="E37" s="6" t="s">
        <v>281</v>
      </c>
      <c r="F37" s="6" t="s">
        <v>284</v>
      </c>
      <c r="G37" s="6" t="s">
        <v>285</v>
      </c>
      <c r="H37" s="6" t="s">
        <v>43</v>
      </c>
    </row>
    <row r="38" customFormat="false" ht="15" hidden="false" customHeight="false" outlineLevel="0" collapsed="false">
      <c r="A38" s="6" t="s">
        <v>264</v>
      </c>
      <c r="B38" s="6" t="s">
        <v>286</v>
      </c>
      <c r="C38" s="7" t="s">
        <v>287</v>
      </c>
      <c r="D38" s="7" t="s">
        <v>288</v>
      </c>
      <c r="E38" s="6" t="s">
        <v>286</v>
      </c>
      <c r="F38" s="6" t="s">
        <v>289</v>
      </c>
      <c r="G38" s="6" t="s">
        <v>270</v>
      </c>
      <c r="H38" s="6" t="s">
        <v>290</v>
      </c>
    </row>
    <row r="39" customFormat="false" ht="15" hidden="false" customHeight="false" outlineLevel="0" collapsed="false">
      <c r="A39" s="6" t="s">
        <v>264</v>
      </c>
      <c r="B39" s="6" t="s">
        <v>291</v>
      </c>
      <c r="C39" s="7" t="s">
        <v>292</v>
      </c>
      <c r="D39" s="7" t="s">
        <v>293</v>
      </c>
      <c r="E39" s="6" t="s">
        <v>294</v>
      </c>
      <c r="F39" s="6" t="s">
        <v>295</v>
      </c>
      <c r="G39" s="6" t="s">
        <v>270</v>
      </c>
      <c r="H39" s="6" t="s">
        <v>296</v>
      </c>
    </row>
    <row r="40" customFormat="false" ht="15" hidden="false" customHeight="false" outlineLevel="0" collapsed="false">
      <c r="A40" s="6" t="s">
        <v>264</v>
      </c>
      <c r="B40" s="6" t="s">
        <v>297</v>
      </c>
      <c r="C40" s="7" t="s">
        <v>298</v>
      </c>
      <c r="D40" s="7" t="s">
        <v>299</v>
      </c>
      <c r="E40" s="6" t="s">
        <v>43</v>
      </c>
      <c r="F40" s="6" t="s">
        <v>300</v>
      </c>
      <c r="G40" s="6" t="s">
        <v>270</v>
      </c>
      <c r="H40" s="6" t="s">
        <v>301</v>
      </c>
    </row>
    <row r="41" customFormat="false" ht="23.85" hidden="false" customHeight="false" outlineLevel="0" collapsed="false">
      <c r="A41" s="6" t="s">
        <v>264</v>
      </c>
      <c r="B41" s="6" t="s">
        <v>302</v>
      </c>
      <c r="C41" s="7" t="s">
        <v>303</v>
      </c>
      <c r="D41" s="7" t="s">
        <v>304</v>
      </c>
      <c r="E41" s="6" t="s">
        <v>43</v>
      </c>
      <c r="F41" s="6" t="s">
        <v>305</v>
      </c>
      <c r="G41" s="6" t="s">
        <v>270</v>
      </c>
      <c r="H41" s="6" t="s">
        <v>306</v>
      </c>
    </row>
    <row r="42" customFormat="false" ht="15" hidden="false" customHeight="false" outlineLevel="0" collapsed="false">
      <c r="A42" s="6" t="s">
        <v>264</v>
      </c>
      <c r="B42" s="6" t="s">
        <v>307</v>
      </c>
      <c r="C42" s="7" t="s">
        <v>308</v>
      </c>
      <c r="D42" s="7" t="s">
        <v>309</v>
      </c>
      <c r="E42" s="6" t="s">
        <v>310</v>
      </c>
      <c r="F42" s="6" t="s">
        <v>311</v>
      </c>
      <c r="G42" s="6" t="s">
        <v>270</v>
      </c>
      <c r="H42" s="6" t="s">
        <v>312</v>
      </c>
    </row>
    <row r="43" customFormat="false" ht="15" hidden="false" customHeight="false" outlineLevel="0" collapsed="false">
      <c r="A43" s="6" t="s">
        <v>264</v>
      </c>
      <c r="B43" s="6" t="s">
        <v>313</v>
      </c>
      <c r="C43" s="7" t="s">
        <v>314</v>
      </c>
      <c r="D43" s="7" t="s">
        <v>315</v>
      </c>
      <c r="E43" s="6" t="s">
        <v>310</v>
      </c>
      <c r="F43" s="6" t="s">
        <v>316</v>
      </c>
      <c r="G43" s="6" t="s">
        <v>270</v>
      </c>
      <c r="H43" s="6" t="s">
        <v>317</v>
      </c>
    </row>
    <row r="44" customFormat="false" ht="15" hidden="false" customHeight="false" outlineLevel="0" collapsed="false">
      <c r="A44" s="6" t="s">
        <v>264</v>
      </c>
      <c r="B44" s="6" t="s">
        <v>318</v>
      </c>
      <c r="C44" s="7" t="s">
        <v>319</v>
      </c>
      <c r="D44" s="7" t="s">
        <v>320</v>
      </c>
      <c r="E44" s="6" t="s">
        <v>268</v>
      </c>
      <c r="F44" s="6" t="s">
        <v>321</v>
      </c>
      <c r="G44" s="6" t="s">
        <v>270</v>
      </c>
      <c r="H44" s="6" t="s">
        <v>322</v>
      </c>
    </row>
    <row r="45" customFormat="false" ht="15" hidden="false" customHeight="false" outlineLevel="0" collapsed="false">
      <c r="A45" s="6" t="s">
        <v>264</v>
      </c>
      <c r="B45" s="6" t="s">
        <v>323</v>
      </c>
      <c r="C45" s="7" t="s">
        <v>93</v>
      </c>
      <c r="D45" s="7" t="s">
        <v>324</v>
      </c>
      <c r="E45" s="6" t="s">
        <v>268</v>
      </c>
      <c r="F45" s="6" t="s">
        <v>321</v>
      </c>
      <c r="G45" s="6" t="s">
        <v>270</v>
      </c>
      <c r="H45" s="6" t="s">
        <v>325</v>
      </c>
    </row>
    <row r="46" customFormat="false" ht="15" hidden="false" customHeight="false" outlineLevel="0" collapsed="false">
      <c r="A46" s="6" t="s">
        <v>326</v>
      </c>
      <c r="B46" s="6" t="s">
        <v>327</v>
      </c>
      <c r="C46" s="7" t="s">
        <v>328</v>
      </c>
      <c r="D46" s="7" t="s">
        <v>329</v>
      </c>
      <c r="E46" s="6" t="s">
        <v>43</v>
      </c>
      <c r="F46" s="6" t="s">
        <v>330</v>
      </c>
      <c r="G46" s="6" t="s">
        <v>331</v>
      </c>
      <c r="H46" s="6" t="s">
        <v>332</v>
      </c>
    </row>
    <row r="47" customFormat="false" ht="15" hidden="false" customHeight="false" outlineLevel="0" collapsed="false">
      <c r="A47" s="6" t="s">
        <v>326</v>
      </c>
      <c r="B47" s="6" t="s">
        <v>333</v>
      </c>
      <c r="C47" s="7" t="s">
        <v>334</v>
      </c>
      <c r="D47" s="7" t="s">
        <v>335</v>
      </c>
      <c r="E47" s="6" t="s">
        <v>333</v>
      </c>
      <c r="F47" s="6" t="s">
        <v>336</v>
      </c>
      <c r="G47" s="6" t="s">
        <v>331</v>
      </c>
      <c r="H47" s="6" t="s">
        <v>337</v>
      </c>
    </row>
    <row r="48" customFormat="false" ht="15" hidden="false" customHeight="false" outlineLevel="0" collapsed="false">
      <c r="A48" s="6" t="s">
        <v>326</v>
      </c>
      <c r="B48" s="6" t="s">
        <v>338</v>
      </c>
      <c r="C48" s="7" t="s">
        <v>339</v>
      </c>
      <c r="D48" s="7" t="s">
        <v>340</v>
      </c>
      <c r="E48" s="6" t="s">
        <v>43</v>
      </c>
      <c r="F48" s="6" t="s">
        <v>341</v>
      </c>
      <c r="G48" s="6" t="s">
        <v>331</v>
      </c>
      <c r="H48" s="6" t="s">
        <v>342</v>
      </c>
    </row>
    <row r="49" customFormat="false" ht="15" hidden="false" customHeight="false" outlineLevel="0" collapsed="false">
      <c r="A49" s="6" t="s">
        <v>326</v>
      </c>
      <c r="B49" s="6" t="s">
        <v>343</v>
      </c>
      <c r="C49" s="7" t="s">
        <v>344</v>
      </c>
      <c r="D49" s="7" t="s">
        <v>345</v>
      </c>
      <c r="E49" s="6" t="s">
        <v>43</v>
      </c>
      <c r="F49" s="6" t="s">
        <v>346</v>
      </c>
      <c r="G49" s="6" t="s">
        <v>331</v>
      </c>
      <c r="H49" s="6" t="s">
        <v>347</v>
      </c>
    </row>
    <row r="50" customFormat="false" ht="15" hidden="false" customHeight="false" outlineLevel="0" collapsed="false">
      <c r="A50" s="6" t="s">
        <v>326</v>
      </c>
      <c r="B50" s="6" t="s">
        <v>348</v>
      </c>
      <c r="C50" s="7" t="s">
        <v>349</v>
      </c>
      <c r="D50" s="7" t="s">
        <v>350</v>
      </c>
      <c r="E50" s="6" t="s">
        <v>351</v>
      </c>
      <c r="F50" s="6" t="s">
        <v>352</v>
      </c>
      <c r="G50" s="6" t="s">
        <v>331</v>
      </c>
      <c r="H50" s="6" t="s">
        <v>353</v>
      </c>
    </row>
    <row r="51" customFormat="false" ht="15" hidden="false" customHeight="false" outlineLevel="0" collapsed="false">
      <c r="A51" s="6" t="s">
        <v>326</v>
      </c>
      <c r="B51" s="6" t="s">
        <v>354</v>
      </c>
      <c r="C51" s="7" t="s">
        <v>355</v>
      </c>
      <c r="D51" s="7" t="s">
        <v>356</v>
      </c>
      <c r="E51" s="6" t="s">
        <v>351</v>
      </c>
      <c r="F51" s="6" t="s">
        <v>357</v>
      </c>
      <c r="G51" s="6" t="s">
        <v>331</v>
      </c>
      <c r="H51" s="6" t="s">
        <v>358</v>
      </c>
    </row>
    <row r="52" customFormat="false" ht="15" hidden="false" customHeight="false" outlineLevel="0" collapsed="false">
      <c r="A52" s="6" t="s">
        <v>326</v>
      </c>
      <c r="B52" s="6" t="s">
        <v>359</v>
      </c>
      <c r="C52" s="7" t="s">
        <v>360</v>
      </c>
      <c r="D52" s="7" t="s">
        <v>361</v>
      </c>
      <c r="E52" s="6" t="s">
        <v>351</v>
      </c>
      <c r="F52" s="6" t="s">
        <v>362</v>
      </c>
      <c r="G52" s="6" t="s">
        <v>331</v>
      </c>
      <c r="H52" s="6" t="s">
        <v>363</v>
      </c>
    </row>
    <row r="53" customFormat="false" ht="15" hidden="false" customHeight="false" outlineLevel="0" collapsed="false">
      <c r="A53" s="6" t="s">
        <v>326</v>
      </c>
      <c r="B53" s="6" t="s">
        <v>364</v>
      </c>
      <c r="C53" s="7" t="s">
        <v>365</v>
      </c>
      <c r="D53" s="7" t="s">
        <v>366</v>
      </c>
      <c r="E53" s="6" t="s">
        <v>310</v>
      </c>
      <c r="F53" s="6" t="s">
        <v>367</v>
      </c>
      <c r="G53" s="6" t="s">
        <v>331</v>
      </c>
      <c r="H53" s="6" t="s">
        <v>368</v>
      </c>
    </row>
    <row r="54" customFormat="false" ht="15" hidden="false" customHeight="false" outlineLevel="0" collapsed="false">
      <c r="A54" s="6" t="s">
        <v>326</v>
      </c>
      <c r="B54" s="6" t="s">
        <v>369</v>
      </c>
      <c r="C54" s="7" t="s">
        <v>370</v>
      </c>
      <c r="D54" s="7" t="s">
        <v>371</v>
      </c>
      <c r="E54" s="6" t="s">
        <v>310</v>
      </c>
      <c r="F54" s="6" t="s">
        <v>372</v>
      </c>
      <c r="G54" s="6" t="s">
        <v>331</v>
      </c>
      <c r="H54" s="6" t="s">
        <v>373</v>
      </c>
    </row>
    <row r="55" customFormat="false" ht="15" hidden="false" customHeight="false" outlineLevel="0" collapsed="false">
      <c r="A55" s="6" t="s">
        <v>326</v>
      </c>
      <c r="B55" s="6" t="s">
        <v>374</v>
      </c>
      <c r="C55" s="7" t="s">
        <v>375</v>
      </c>
      <c r="D55" s="7" t="s">
        <v>376</v>
      </c>
      <c r="E55" s="6" t="s">
        <v>310</v>
      </c>
      <c r="F55" s="6" t="s">
        <v>377</v>
      </c>
      <c r="G55" s="6" t="s">
        <v>331</v>
      </c>
      <c r="H55" s="6" t="s">
        <v>378</v>
      </c>
    </row>
    <row r="56" customFormat="false" ht="15" hidden="false" customHeight="false" outlineLevel="0" collapsed="false">
      <c r="A56" s="6" t="s">
        <v>326</v>
      </c>
      <c r="B56" s="6" t="s">
        <v>379</v>
      </c>
      <c r="C56" s="7" t="s">
        <v>380</v>
      </c>
      <c r="D56" s="7" t="s">
        <v>381</v>
      </c>
      <c r="E56" s="6" t="s">
        <v>310</v>
      </c>
      <c r="F56" s="6" t="s">
        <v>382</v>
      </c>
      <c r="G56" s="6" t="s">
        <v>331</v>
      </c>
      <c r="H56" s="6" t="s">
        <v>383</v>
      </c>
    </row>
    <row r="57" customFormat="false" ht="15" hidden="false" customHeight="false" outlineLevel="0" collapsed="false">
      <c r="A57" s="6" t="s">
        <v>326</v>
      </c>
      <c r="B57" s="6" t="s">
        <v>384</v>
      </c>
      <c r="C57" s="7" t="s">
        <v>385</v>
      </c>
      <c r="D57" s="7" t="s">
        <v>386</v>
      </c>
      <c r="E57" s="6" t="s">
        <v>294</v>
      </c>
      <c r="F57" s="6" t="s">
        <v>387</v>
      </c>
      <c r="G57" s="6" t="s">
        <v>388</v>
      </c>
      <c r="H57" s="6" t="s">
        <v>43</v>
      </c>
    </row>
    <row r="58" customFormat="false" ht="15" hidden="false" customHeight="false" outlineLevel="0" collapsed="false">
      <c r="A58" s="6" t="s">
        <v>326</v>
      </c>
      <c r="B58" s="6" t="s">
        <v>389</v>
      </c>
      <c r="C58" s="7" t="s">
        <v>390</v>
      </c>
      <c r="D58" s="7" t="s">
        <v>391</v>
      </c>
      <c r="E58" s="6" t="s">
        <v>294</v>
      </c>
      <c r="F58" s="6" t="s">
        <v>392</v>
      </c>
      <c r="G58" s="6" t="s">
        <v>331</v>
      </c>
      <c r="H58" s="6" t="s">
        <v>393</v>
      </c>
    </row>
    <row r="59" customFormat="false" ht="15" hidden="false" customHeight="false" outlineLevel="0" collapsed="false">
      <c r="A59" s="6" t="s">
        <v>326</v>
      </c>
      <c r="B59" s="6" t="s">
        <v>394</v>
      </c>
      <c r="C59" s="7" t="s">
        <v>395</v>
      </c>
      <c r="D59" s="7" t="s">
        <v>396</v>
      </c>
      <c r="E59" s="6" t="s">
        <v>294</v>
      </c>
      <c r="F59" s="6" t="s">
        <v>397</v>
      </c>
      <c r="G59" s="6" t="s">
        <v>331</v>
      </c>
      <c r="H59" s="6" t="s">
        <v>398</v>
      </c>
    </row>
    <row r="60" customFormat="false" ht="15" hidden="false" customHeight="false" outlineLevel="0" collapsed="false">
      <c r="A60" s="6" t="s">
        <v>326</v>
      </c>
      <c r="B60" s="6" t="s">
        <v>399</v>
      </c>
      <c r="C60" s="7" t="s">
        <v>400</v>
      </c>
      <c r="D60" s="7" t="s">
        <v>401</v>
      </c>
      <c r="E60" s="6" t="s">
        <v>294</v>
      </c>
      <c r="F60" s="6" t="s">
        <v>402</v>
      </c>
      <c r="G60" s="6" t="s">
        <v>403</v>
      </c>
      <c r="H60" s="6" t="s">
        <v>43</v>
      </c>
    </row>
    <row r="61" customFormat="false" ht="15" hidden="false" customHeight="false" outlineLevel="0" collapsed="false">
      <c r="A61" s="6" t="s">
        <v>326</v>
      </c>
      <c r="B61" s="6" t="s">
        <v>404</v>
      </c>
      <c r="C61" s="7" t="s">
        <v>405</v>
      </c>
      <c r="D61" s="7" t="s">
        <v>406</v>
      </c>
      <c r="E61" s="6" t="s">
        <v>43</v>
      </c>
      <c r="F61" s="6" t="s">
        <v>407</v>
      </c>
      <c r="G61" s="6" t="s">
        <v>408</v>
      </c>
      <c r="H61" s="6" t="s">
        <v>43</v>
      </c>
    </row>
    <row r="62" customFormat="false" ht="15" hidden="false" customHeight="false" outlineLevel="0" collapsed="false">
      <c r="A62" s="6" t="s">
        <v>326</v>
      </c>
      <c r="B62" s="6" t="s">
        <v>409</v>
      </c>
      <c r="C62" s="7" t="s">
        <v>410</v>
      </c>
      <c r="D62" s="7" t="s">
        <v>411</v>
      </c>
      <c r="E62" s="6" t="s">
        <v>43</v>
      </c>
      <c r="F62" s="6" t="s">
        <v>412</v>
      </c>
      <c r="G62" s="6" t="s">
        <v>331</v>
      </c>
      <c r="H62" s="6" t="s">
        <v>413</v>
      </c>
    </row>
    <row r="63" customFormat="false" ht="15" hidden="false" customHeight="false" outlineLevel="0" collapsed="false">
      <c r="A63" s="6" t="s">
        <v>326</v>
      </c>
      <c r="B63" s="6" t="s">
        <v>414</v>
      </c>
      <c r="C63" s="7" t="s">
        <v>415</v>
      </c>
      <c r="D63" s="7" t="s">
        <v>416</v>
      </c>
      <c r="E63" s="6" t="s">
        <v>43</v>
      </c>
      <c r="F63" s="6" t="s">
        <v>417</v>
      </c>
      <c r="G63" s="6" t="s">
        <v>418</v>
      </c>
      <c r="H63" s="6" t="s">
        <v>419</v>
      </c>
    </row>
    <row r="64" customFormat="false" ht="15" hidden="false" customHeight="false" outlineLevel="0" collapsed="false">
      <c r="A64" s="6" t="s">
        <v>326</v>
      </c>
      <c r="B64" s="6" t="s">
        <v>420</v>
      </c>
      <c r="C64" s="7" t="s">
        <v>421</v>
      </c>
      <c r="D64" s="7" t="s">
        <v>422</v>
      </c>
      <c r="E64" s="6" t="s">
        <v>268</v>
      </c>
      <c r="F64" s="6" t="s">
        <v>269</v>
      </c>
      <c r="G64" s="6" t="s">
        <v>331</v>
      </c>
      <c r="H64" s="6" t="s">
        <v>423</v>
      </c>
    </row>
    <row r="65" customFormat="false" ht="15" hidden="false" customHeight="false" outlineLevel="0" collapsed="false">
      <c r="A65" s="6" t="s">
        <v>326</v>
      </c>
      <c r="B65" s="6" t="s">
        <v>424</v>
      </c>
      <c r="C65" s="7" t="s">
        <v>425</v>
      </c>
      <c r="D65" s="7" t="s">
        <v>426</v>
      </c>
      <c r="E65" s="6" t="s">
        <v>268</v>
      </c>
      <c r="F65" s="6" t="s">
        <v>269</v>
      </c>
      <c r="G65" s="6" t="s">
        <v>331</v>
      </c>
      <c r="H65" s="6" t="s">
        <v>427</v>
      </c>
    </row>
    <row r="66" customFormat="false" ht="15" hidden="false" customHeight="false" outlineLevel="0" collapsed="false">
      <c r="A66" s="6" t="s">
        <v>326</v>
      </c>
      <c r="B66" s="6" t="s">
        <v>428</v>
      </c>
      <c r="C66" s="7" t="s">
        <v>429</v>
      </c>
      <c r="D66" s="7" t="s">
        <v>430</v>
      </c>
      <c r="E66" s="6" t="s">
        <v>268</v>
      </c>
      <c r="F66" s="6" t="s">
        <v>279</v>
      </c>
      <c r="G66" s="6" t="s">
        <v>331</v>
      </c>
      <c r="H66" s="6" t="s">
        <v>431</v>
      </c>
    </row>
    <row r="67" customFormat="false" ht="15" hidden="false" customHeight="false" outlineLevel="0" collapsed="false">
      <c r="A67" s="6" t="s">
        <v>326</v>
      </c>
      <c r="B67" s="6" t="s">
        <v>432</v>
      </c>
      <c r="C67" s="7" t="s">
        <v>433</v>
      </c>
      <c r="D67" s="7" t="s">
        <v>434</v>
      </c>
      <c r="E67" s="6" t="s">
        <v>268</v>
      </c>
      <c r="F67" s="6" t="s">
        <v>435</v>
      </c>
      <c r="G67" s="6" t="s">
        <v>331</v>
      </c>
      <c r="H67" s="6" t="s">
        <v>436</v>
      </c>
    </row>
    <row r="68" customFormat="false" ht="15" hidden="false" customHeight="false" outlineLevel="0" collapsed="false">
      <c r="A68" s="6" t="s">
        <v>326</v>
      </c>
      <c r="B68" s="6" t="s">
        <v>437</v>
      </c>
      <c r="C68" s="7" t="s">
        <v>438</v>
      </c>
      <c r="D68" s="7" t="s">
        <v>439</v>
      </c>
      <c r="E68" s="6" t="s">
        <v>268</v>
      </c>
      <c r="F68" s="6" t="s">
        <v>435</v>
      </c>
      <c r="G68" s="6" t="s">
        <v>331</v>
      </c>
      <c r="H68" s="6" t="s">
        <v>440</v>
      </c>
    </row>
    <row r="69" customFormat="false" ht="15" hidden="false" customHeight="false" outlineLevel="0" collapsed="false">
      <c r="A69" s="6" t="s">
        <v>326</v>
      </c>
      <c r="B69" s="6" t="s">
        <v>441</v>
      </c>
      <c r="C69" s="7" t="s">
        <v>442</v>
      </c>
      <c r="D69" s="7" t="s">
        <v>443</v>
      </c>
      <c r="E69" s="6" t="s">
        <v>268</v>
      </c>
      <c r="F69" s="6" t="s">
        <v>444</v>
      </c>
      <c r="G69" s="6" t="s">
        <v>331</v>
      </c>
      <c r="H69" s="6" t="s">
        <v>445</v>
      </c>
    </row>
    <row r="70" customFormat="false" ht="15" hidden="false" customHeight="false" outlineLevel="0" collapsed="false">
      <c r="A70" s="6" t="s">
        <v>326</v>
      </c>
      <c r="B70" s="6" t="s">
        <v>446</v>
      </c>
      <c r="C70" s="7" t="s">
        <v>447</v>
      </c>
      <c r="D70" s="7" t="s">
        <v>448</v>
      </c>
      <c r="E70" s="6" t="s">
        <v>268</v>
      </c>
      <c r="F70" s="6" t="s">
        <v>449</v>
      </c>
      <c r="G70" s="6" t="s">
        <v>331</v>
      </c>
      <c r="H70" s="6" t="s">
        <v>450</v>
      </c>
    </row>
    <row r="71" customFormat="false" ht="15" hidden="false" customHeight="false" outlineLevel="0" collapsed="false">
      <c r="A71" s="6" t="s">
        <v>326</v>
      </c>
      <c r="B71" s="6" t="s">
        <v>451</v>
      </c>
      <c r="C71" s="7" t="s">
        <v>452</v>
      </c>
      <c r="D71" s="7" t="s">
        <v>453</v>
      </c>
      <c r="E71" s="6" t="s">
        <v>268</v>
      </c>
      <c r="F71" s="6" t="s">
        <v>449</v>
      </c>
      <c r="G71" s="6" t="s">
        <v>331</v>
      </c>
      <c r="H71" s="6" t="s">
        <v>454</v>
      </c>
    </row>
    <row r="72" customFormat="false" ht="15" hidden="false" customHeight="false" outlineLevel="0" collapsed="false">
      <c r="A72" s="6" t="s">
        <v>326</v>
      </c>
      <c r="B72" s="6" t="s">
        <v>455</v>
      </c>
      <c r="C72" s="7" t="s">
        <v>88</v>
      </c>
      <c r="D72" s="7" t="s">
        <v>456</v>
      </c>
      <c r="E72" s="6" t="s">
        <v>268</v>
      </c>
      <c r="F72" s="6" t="s">
        <v>444</v>
      </c>
      <c r="G72" s="6" t="s">
        <v>331</v>
      </c>
      <c r="H72" s="6" t="s">
        <v>457</v>
      </c>
    </row>
  </sheetData>
  <autoFilter ref="A4:H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26"/>
    <col collapsed="false" customWidth="true" hidden="false" outlineLevel="0" max="6" min="6" style="0" width="58"/>
    <col collapsed="false" customWidth="true" hidden="false" outlineLevel="0" max="7" min="7" style="0" width="70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458</v>
      </c>
    </row>
    <row r="2" customFormat="false" ht="15" hidden="false" customHeight="false" outlineLevel="0" collapsed="false">
      <c r="A2" s="2" t="s">
        <v>459</v>
      </c>
    </row>
    <row r="4" customFormat="false" ht="23.85" hidden="false" customHeight="false" outlineLevel="0" collapsed="false">
      <c r="A4" s="5" t="s">
        <v>460</v>
      </c>
      <c r="B4" s="5" t="s">
        <v>7</v>
      </c>
      <c r="C4" s="5" t="s">
        <v>461</v>
      </c>
      <c r="D4" s="5" t="s">
        <v>462</v>
      </c>
      <c r="E4" s="5" t="s">
        <v>463</v>
      </c>
      <c r="F4" s="5" t="s">
        <v>127</v>
      </c>
      <c r="G4" s="5" t="s">
        <v>464</v>
      </c>
      <c r="H4" s="5" t="s">
        <v>465</v>
      </c>
    </row>
    <row r="5" customFormat="false" ht="15" hidden="false" customHeight="false" outlineLevel="0" collapsed="false">
      <c r="A5" s="6" t="s">
        <v>210</v>
      </c>
      <c r="B5" s="6" t="s">
        <v>466</v>
      </c>
      <c r="C5" s="7" t="s">
        <v>467</v>
      </c>
      <c r="D5" s="6" t="s">
        <v>468</v>
      </c>
      <c r="E5" s="7" t="s">
        <v>469</v>
      </c>
      <c r="F5" s="6" t="s">
        <v>470</v>
      </c>
      <c r="G5" s="6" t="s">
        <v>471</v>
      </c>
      <c r="H5" s="9" t="s">
        <v>472</v>
      </c>
    </row>
    <row r="6" customFormat="false" ht="15" hidden="false" customHeight="false" outlineLevel="0" collapsed="false">
      <c r="A6" s="6" t="s">
        <v>210</v>
      </c>
      <c r="B6" s="6" t="s">
        <v>473</v>
      </c>
      <c r="C6" s="7" t="s">
        <v>474</v>
      </c>
      <c r="D6" s="6" t="s">
        <v>468</v>
      </c>
      <c r="E6" s="7" t="s">
        <v>475</v>
      </c>
      <c r="F6" s="6" t="s">
        <v>476</v>
      </c>
      <c r="G6" s="6" t="s">
        <v>477</v>
      </c>
      <c r="H6" s="9" t="s">
        <v>478</v>
      </c>
    </row>
    <row r="7" customFormat="false" ht="15" hidden="false" customHeight="false" outlineLevel="0" collapsed="false">
      <c r="A7" s="6" t="s">
        <v>210</v>
      </c>
      <c r="B7" s="6" t="s">
        <v>479</v>
      </c>
      <c r="C7" s="7" t="s">
        <v>480</v>
      </c>
      <c r="D7" s="6" t="s">
        <v>468</v>
      </c>
      <c r="E7" s="7" t="s">
        <v>39</v>
      </c>
      <c r="F7" s="6" t="s">
        <v>481</v>
      </c>
      <c r="G7" s="6" t="s">
        <v>482</v>
      </c>
      <c r="H7" s="9" t="s">
        <v>483</v>
      </c>
    </row>
    <row r="8" customFormat="false" ht="15" hidden="false" customHeight="false" outlineLevel="0" collapsed="false">
      <c r="A8" s="6" t="s">
        <v>210</v>
      </c>
      <c r="B8" s="6" t="s">
        <v>484</v>
      </c>
      <c r="C8" s="7" t="s">
        <v>485</v>
      </c>
      <c r="D8" s="6" t="s">
        <v>468</v>
      </c>
      <c r="E8" s="7" t="s">
        <v>39</v>
      </c>
      <c r="F8" s="6" t="s">
        <v>486</v>
      </c>
      <c r="G8" s="6" t="s">
        <v>43</v>
      </c>
      <c r="H8" s="9" t="s">
        <v>487</v>
      </c>
    </row>
    <row r="9" customFormat="false" ht="15" hidden="false" customHeight="false" outlineLevel="0" collapsed="false">
      <c r="A9" s="6" t="s">
        <v>210</v>
      </c>
      <c r="B9" s="6" t="s">
        <v>488</v>
      </c>
      <c r="C9" s="7" t="s">
        <v>489</v>
      </c>
      <c r="D9" s="6" t="s">
        <v>468</v>
      </c>
      <c r="E9" s="7" t="s">
        <v>39</v>
      </c>
      <c r="F9" s="6" t="s">
        <v>490</v>
      </c>
      <c r="G9" s="6" t="s">
        <v>491</v>
      </c>
      <c r="H9" s="9" t="s">
        <v>492</v>
      </c>
    </row>
    <row r="10" customFormat="false" ht="15" hidden="false" customHeight="false" outlineLevel="0" collapsed="false">
      <c r="A10" s="6" t="s">
        <v>210</v>
      </c>
      <c r="B10" s="6" t="s">
        <v>493</v>
      </c>
      <c r="C10" s="7" t="s">
        <v>494</v>
      </c>
      <c r="D10" s="6" t="s">
        <v>468</v>
      </c>
      <c r="E10" s="7" t="s">
        <v>39</v>
      </c>
      <c r="F10" s="6" t="s">
        <v>495</v>
      </c>
      <c r="G10" s="6" t="s">
        <v>43</v>
      </c>
      <c r="H10" s="9" t="s">
        <v>496</v>
      </c>
    </row>
    <row r="11" customFormat="false" ht="15" hidden="false" customHeight="false" outlineLevel="0" collapsed="false">
      <c r="A11" s="6" t="s">
        <v>210</v>
      </c>
      <c r="B11" s="6" t="s">
        <v>497</v>
      </c>
      <c r="C11" s="7" t="s">
        <v>498</v>
      </c>
      <c r="D11" s="6" t="s">
        <v>468</v>
      </c>
      <c r="E11" s="7" t="s">
        <v>39</v>
      </c>
      <c r="F11" s="6" t="s">
        <v>499</v>
      </c>
      <c r="G11" s="6" t="s">
        <v>43</v>
      </c>
      <c r="H11" s="9" t="s">
        <v>500</v>
      </c>
    </row>
    <row r="12" customFormat="false" ht="15" hidden="false" customHeight="false" outlineLevel="0" collapsed="false">
      <c r="A12" s="6" t="s">
        <v>210</v>
      </c>
      <c r="B12" s="6" t="s">
        <v>501</v>
      </c>
      <c r="C12" s="7" t="s">
        <v>502</v>
      </c>
      <c r="D12" s="6" t="s">
        <v>468</v>
      </c>
      <c r="E12" s="7" t="s">
        <v>39</v>
      </c>
      <c r="F12" s="6" t="s">
        <v>503</v>
      </c>
      <c r="G12" s="6" t="s">
        <v>504</v>
      </c>
      <c r="H12" s="9" t="s">
        <v>505</v>
      </c>
    </row>
    <row r="13" customFormat="false" ht="15" hidden="false" customHeight="false" outlineLevel="0" collapsed="false">
      <c r="A13" s="6" t="s">
        <v>210</v>
      </c>
      <c r="B13" s="6" t="s">
        <v>506</v>
      </c>
      <c r="C13" s="7" t="s">
        <v>507</v>
      </c>
      <c r="D13" s="6" t="s">
        <v>468</v>
      </c>
      <c r="E13" s="7" t="s">
        <v>39</v>
      </c>
      <c r="F13" s="6" t="s">
        <v>508</v>
      </c>
      <c r="G13" s="6" t="s">
        <v>509</v>
      </c>
      <c r="H13" s="9" t="s">
        <v>510</v>
      </c>
    </row>
    <row r="14" customFormat="false" ht="23.85" hidden="false" customHeight="false" outlineLevel="0" collapsed="false">
      <c r="A14" s="6" t="s">
        <v>210</v>
      </c>
      <c r="B14" s="6" t="s">
        <v>511</v>
      </c>
      <c r="C14" s="7" t="s">
        <v>512</v>
      </c>
      <c r="D14" s="6" t="s">
        <v>468</v>
      </c>
      <c r="E14" s="7" t="s">
        <v>513</v>
      </c>
      <c r="F14" s="6" t="s">
        <v>514</v>
      </c>
      <c r="G14" s="6" t="s">
        <v>515</v>
      </c>
      <c r="H14" s="9" t="s">
        <v>516</v>
      </c>
    </row>
    <row r="15" customFormat="false" ht="15" hidden="false" customHeight="false" outlineLevel="0" collapsed="false">
      <c r="A15" s="6" t="s">
        <v>210</v>
      </c>
      <c r="B15" s="6" t="s">
        <v>517</v>
      </c>
      <c r="C15" s="7" t="s">
        <v>518</v>
      </c>
      <c r="D15" s="6" t="s">
        <v>468</v>
      </c>
      <c r="E15" s="7" t="s">
        <v>39</v>
      </c>
      <c r="F15" s="6" t="s">
        <v>519</v>
      </c>
      <c r="G15" s="6" t="s">
        <v>520</v>
      </c>
      <c r="H15" s="9" t="s">
        <v>521</v>
      </c>
    </row>
    <row r="16" customFormat="false" ht="15" hidden="false" customHeight="false" outlineLevel="0" collapsed="false">
      <c r="A16" s="6" t="s">
        <v>210</v>
      </c>
      <c r="B16" s="6" t="s">
        <v>522</v>
      </c>
      <c r="C16" s="7" t="s">
        <v>523</v>
      </c>
      <c r="D16" s="6" t="s">
        <v>468</v>
      </c>
      <c r="E16" s="7" t="s">
        <v>39</v>
      </c>
      <c r="F16" s="6" t="s">
        <v>524</v>
      </c>
      <c r="G16" s="6" t="s">
        <v>525</v>
      </c>
      <c r="H16" s="9" t="s">
        <v>526</v>
      </c>
    </row>
    <row r="17" customFormat="false" ht="23.85" hidden="false" customHeight="false" outlineLevel="0" collapsed="false">
      <c r="A17" s="6" t="s">
        <v>210</v>
      </c>
      <c r="B17" s="6" t="s">
        <v>527</v>
      </c>
      <c r="C17" s="7" t="s">
        <v>528</v>
      </c>
      <c r="D17" s="6" t="s">
        <v>468</v>
      </c>
      <c r="E17" s="7" t="s">
        <v>39</v>
      </c>
      <c r="F17" s="6" t="s">
        <v>529</v>
      </c>
      <c r="G17" s="6" t="s">
        <v>530</v>
      </c>
      <c r="H17" s="9" t="s">
        <v>531</v>
      </c>
    </row>
    <row r="18" customFormat="false" ht="15" hidden="false" customHeight="false" outlineLevel="0" collapsed="false">
      <c r="A18" s="6" t="s">
        <v>210</v>
      </c>
      <c r="B18" s="6" t="s">
        <v>532</v>
      </c>
      <c r="C18" s="7" t="s">
        <v>533</v>
      </c>
      <c r="D18" s="6" t="s">
        <v>468</v>
      </c>
      <c r="E18" s="7" t="s">
        <v>39</v>
      </c>
      <c r="F18" s="6" t="s">
        <v>534</v>
      </c>
      <c r="G18" s="6" t="s">
        <v>530</v>
      </c>
      <c r="H18" s="9" t="s">
        <v>535</v>
      </c>
    </row>
    <row r="19" customFormat="false" ht="15" hidden="false" customHeight="false" outlineLevel="0" collapsed="false">
      <c r="A19" s="6" t="s">
        <v>210</v>
      </c>
      <c r="B19" s="6" t="s">
        <v>536</v>
      </c>
      <c r="C19" s="7" t="s">
        <v>537</v>
      </c>
      <c r="D19" s="6" t="s">
        <v>468</v>
      </c>
      <c r="E19" s="7" t="s">
        <v>538</v>
      </c>
      <c r="F19" s="6" t="s">
        <v>539</v>
      </c>
      <c r="G19" s="6" t="s">
        <v>43</v>
      </c>
      <c r="H19" s="9" t="s">
        <v>540</v>
      </c>
    </row>
    <row r="20" customFormat="false" ht="15" hidden="false" customHeight="false" outlineLevel="0" collapsed="false">
      <c r="A20" s="6" t="s">
        <v>210</v>
      </c>
      <c r="B20" s="6" t="s">
        <v>541</v>
      </c>
      <c r="C20" s="7" t="s">
        <v>542</v>
      </c>
      <c r="D20" s="6" t="s">
        <v>468</v>
      </c>
      <c r="E20" s="7" t="s">
        <v>39</v>
      </c>
      <c r="F20" s="6" t="s">
        <v>543</v>
      </c>
      <c r="G20" s="6" t="s">
        <v>544</v>
      </c>
      <c r="H20" s="9" t="s">
        <v>545</v>
      </c>
    </row>
    <row r="21" customFormat="false" ht="15" hidden="false" customHeight="false" outlineLevel="0" collapsed="false">
      <c r="A21" s="6" t="s">
        <v>210</v>
      </c>
      <c r="B21" s="6" t="s">
        <v>546</v>
      </c>
      <c r="C21" s="7" t="s">
        <v>547</v>
      </c>
      <c r="D21" s="6" t="s">
        <v>468</v>
      </c>
      <c r="E21" s="7" t="s">
        <v>548</v>
      </c>
      <c r="F21" s="6" t="s">
        <v>549</v>
      </c>
      <c r="G21" s="6" t="s">
        <v>550</v>
      </c>
      <c r="H21" s="9" t="s">
        <v>551</v>
      </c>
    </row>
    <row r="22" customFormat="false" ht="15" hidden="false" customHeight="false" outlineLevel="0" collapsed="false">
      <c r="A22" s="6" t="s">
        <v>210</v>
      </c>
      <c r="B22" s="6" t="s">
        <v>552</v>
      </c>
      <c r="C22" s="7" t="s">
        <v>553</v>
      </c>
      <c r="D22" s="6" t="s">
        <v>468</v>
      </c>
      <c r="E22" s="7" t="s">
        <v>554</v>
      </c>
      <c r="F22" s="6" t="s">
        <v>555</v>
      </c>
      <c r="G22" s="6" t="s">
        <v>43</v>
      </c>
      <c r="H22" s="9" t="s">
        <v>556</v>
      </c>
    </row>
    <row r="23" customFormat="false" ht="35.05" hidden="false" customHeight="false" outlineLevel="0" collapsed="false">
      <c r="A23" s="10" t="s">
        <v>222</v>
      </c>
      <c r="B23" s="10" t="s">
        <v>557</v>
      </c>
      <c r="C23" s="11" t="s">
        <v>467</v>
      </c>
      <c r="D23" s="10" t="s">
        <v>468</v>
      </c>
      <c r="E23" s="11" t="s">
        <v>558</v>
      </c>
      <c r="F23" s="10" t="s">
        <v>559</v>
      </c>
      <c r="G23" s="10" t="s">
        <v>560</v>
      </c>
      <c r="H23" s="12" t="s">
        <v>561</v>
      </c>
    </row>
    <row r="24" customFormat="false" ht="15" hidden="false" customHeight="false" outlineLevel="0" collapsed="false">
      <c r="A24" s="6" t="s">
        <v>222</v>
      </c>
      <c r="B24" s="6" t="s">
        <v>562</v>
      </c>
      <c r="C24" s="7" t="s">
        <v>474</v>
      </c>
      <c r="D24" s="6" t="s">
        <v>468</v>
      </c>
      <c r="E24" s="7" t="s">
        <v>39</v>
      </c>
      <c r="F24" s="6" t="s">
        <v>563</v>
      </c>
      <c r="G24" s="6" t="s">
        <v>564</v>
      </c>
      <c r="H24" s="9" t="s">
        <v>565</v>
      </c>
    </row>
    <row r="25" customFormat="false" ht="35.05" hidden="false" customHeight="false" outlineLevel="0" collapsed="false">
      <c r="A25" s="6" t="s">
        <v>222</v>
      </c>
      <c r="B25" s="6" t="s">
        <v>566</v>
      </c>
      <c r="C25" s="7" t="s">
        <v>480</v>
      </c>
      <c r="D25" s="6" t="s">
        <v>468</v>
      </c>
      <c r="E25" s="7" t="s">
        <v>567</v>
      </c>
      <c r="F25" s="6" t="s">
        <v>568</v>
      </c>
      <c r="G25" s="6" t="s">
        <v>569</v>
      </c>
      <c r="H25" s="9" t="s">
        <v>570</v>
      </c>
    </row>
    <row r="26" customFormat="false" ht="35.05" hidden="false" customHeight="false" outlineLevel="0" collapsed="false">
      <c r="A26" s="6" t="s">
        <v>222</v>
      </c>
      <c r="B26" s="6" t="s">
        <v>571</v>
      </c>
      <c r="C26" s="7" t="s">
        <v>485</v>
      </c>
      <c r="D26" s="6" t="s">
        <v>468</v>
      </c>
      <c r="E26" s="7" t="s">
        <v>572</v>
      </c>
      <c r="F26" s="6" t="s">
        <v>573</v>
      </c>
      <c r="G26" s="6" t="s">
        <v>574</v>
      </c>
      <c r="H26" s="9" t="s">
        <v>575</v>
      </c>
    </row>
    <row r="27" customFormat="false" ht="15" hidden="false" customHeight="false" outlineLevel="0" collapsed="false">
      <c r="A27" s="6" t="s">
        <v>222</v>
      </c>
      <c r="B27" s="6" t="s">
        <v>576</v>
      </c>
      <c r="C27" s="7" t="s">
        <v>489</v>
      </c>
      <c r="D27" s="6" t="s">
        <v>577</v>
      </c>
      <c r="E27" s="7" t="s">
        <v>578</v>
      </c>
      <c r="F27" s="6" t="s">
        <v>579</v>
      </c>
      <c r="G27" s="6" t="s">
        <v>580</v>
      </c>
      <c r="H27" s="9" t="s">
        <v>581</v>
      </c>
    </row>
    <row r="28" customFormat="false" ht="15" hidden="false" customHeight="false" outlineLevel="0" collapsed="false">
      <c r="A28" s="6" t="s">
        <v>222</v>
      </c>
      <c r="B28" s="6" t="s">
        <v>582</v>
      </c>
      <c r="C28" s="7" t="s">
        <v>494</v>
      </c>
      <c r="D28" s="6" t="s">
        <v>468</v>
      </c>
      <c r="E28" s="7" t="s">
        <v>39</v>
      </c>
      <c r="F28" s="6" t="s">
        <v>583</v>
      </c>
      <c r="G28" s="6" t="s">
        <v>584</v>
      </c>
      <c r="H28" s="9" t="s">
        <v>585</v>
      </c>
    </row>
    <row r="29" customFormat="false" ht="23.85" hidden="false" customHeight="false" outlineLevel="0" collapsed="false">
      <c r="A29" s="6" t="s">
        <v>222</v>
      </c>
      <c r="B29" s="6" t="s">
        <v>586</v>
      </c>
      <c r="C29" s="7" t="s">
        <v>498</v>
      </c>
      <c r="D29" s="6" t="s">
        <v>587</v>
      </c>
      <c r="E29" s="7" t="s">
        <v>39</v>
      </c>
      <c r="F29" s="6" t="s">
        <v>588</v>
      </c>
      <c r="G29" s="6" t="s">
        <v>589</v>
      </c>
      <c r="H29" s="9" t="s">
        <v>590</v>
      </c>
    </row>
    <row r="30" customFormat="false" ht="15" hidden="false" customHeight="false" outlineLevel="0" collapsed="false">
      <c r="A30" s="6" t="s">
        <v>222</v>
      </c>
      <c r="B30" s="6" t="s">
        <v>591</v>
      </c>
      <c r="C30" s="7" t="s">
        <v>592</v>
      </c>
      <c r="D30" s="6" t="s">
        <v>468</v>
      </c>
      <c r="E30" s="7" t="s">
        <v>39</v>
      </c>
      <c r="F30" s="6" t="s">
        <v>593</v>
      </c>
      <c r="G30" s="6" t="s">
        <v>594</v>
      </c>
      <c r="H30" s="9" t="s">
        <v>595</v>
      </c>
    </row>
    <row r="31" customFormat="false" ht="15" hidden="false" customHeight="false" outlineLevel="0" collapsed="false">
      <c r="A31" s="6" t="s">
        <v>222</v>
      </c>
      <c r="B31" s="6" t="s">
        <v>596</v>
      </c>
      <c r="C31" s="7" t="s">
        <v>502</v>
      </c>
      <c r="D31" s="6" t="s">
        <v>468</v>
      </c>
      <c r="E31" s="7" t="s">
        <v>39</v>
      </c>
      <c r="F31" s="6" t="s">
        <v>597</v>
      </c>
      <c r="G31" s="6" t="s">
        <v>598</v>
      </c>
      <c r="H31" s="9" t="s">
        <v>599</v>
      </c>
    </row>
    <row r="32" customFormat="false" ht="15" hidden="false" customHeight="false" outlineLevel="0" collapsed="false">
      <c r="A32" s="6" t="s">
        <v>222</v>
      </c>
      <c r="B32" s="6" t="s">
        <v>600</v>
      </c>
      <c r="C32" s="7" t="s">
        <v>507</v>
      </c>
      <c r="D32" s="6" t="s">
        <v>468</v>
      </c>
      <c r="E32" s="7" t="s">
        <v>39</v>
      </c>
      <c r="F32" s="6" t="s">
        <v>601</v>
      </c>
      <c r="G32" s="6" t="s">
        <v>602</v>
      </c>
      <c r="H32" s="9" t="s">
        <v>603</v>
      </c>
    </row>
    <row r="33" customFormat="false" ht="15" hidden="false" customHeight="false" outlineLevel="0" collapsed="false">
      <c r="A33" s="10" t="s">
        <v>268</v>
      </c>
      <c r="B33" s="10" t="s">
        <v>604</v>
      </c>
      <c r="C33" s="11" t="s">
        <v>467</v>
      </c>
      <c r="D33" s="10" t="s">
        <v>468</v>
      </c>
      <c r="E33" s="11" t="s">
        <v>605</v>
      </c>
      <c r="F33" s="10" t="s">
        <v>606</v>
      </c>
      <c r="G33" s="10" t="s">
        <v>607</v>
      </c>
      <c r="H33" s="12" t="s">
        <v>608</v>
      </c>
    </row>
    <row r="34" customFormat="false" ht="15" hidden="false" customHeight="false" outlineLevel="0" collapsed="false">
      <c r="A34" s="6" t="s">
        <v>268</v>
      </c>
      <c r="B34" s="6" t="s">
        <v>609</v>
      </c>
      <c r="C34" s="7" t="s">
        <v>474</v>
      </c>
      <c r="D34" s="6" t="s">
        <v>468</v>
      </c>
      <c r="E34" s="7" t="s">
        <v>605</v>
      </c>
      <c r="F34" s="6" t="s">
        <v>610</v>
      </c>
      <c r="G34" s="6" t="s">
        <v>611</v>
      </c>
      <c r="H34" s="9" t="s">
        <v>612</v>
      </c>
    </row>
    <row r="35" customFormat="false" ht="15" hidden="false" customHeight="false" outlineLevel="0" collapsed="false">
      <c r="A35" s="6" t="s">
        <v>268</v>
      </c>
      <c r="B35" s="6" t="s">
        <v>613</v>
      </c>
      <c r="C35" s="7" t="s">
        <v>480</v>
      </c>
      <c r="D35" s="6" t="s">
        <v>468</v>
      </c>
      <c r="E35" s="7" t="s">
        <v>605</v>
      </c>
      <c r="F35" s="6" t="s">
        <v>614</v>
      </c>
      <c r="G35" s="6" t="s">
        <v>615</v>
      </c>
      <c r="H35" s="9" t="s">
        <v>616</v>
      </c>
    </row>
    <row r="36" customFormat="false" ht="15" hidden="false" customHeight="false" outlineLevel="0" collapsed="false">
      <c r="A36" s="6" t="s">
        <v>268</v>
      </c>
      <c r="B36" s="6" t="s">
        <v>617</v>
      </c>
      <c r="C36" s="7" t="s">
        <v>485</v>
      </c>
      <c r="D36" s="6" t="s">
        <v>468</v>
      </c>
      <c r="E36" s="7" t="s">
        <v>605</v>
      </c>
      <c r="F36" s="6" t="s">
        <v>618</v>
      </c>
      <c r="G36" s="6" t="s">
        <v>619</v>
      </c>
      <c r="H36" s="9" t="s">
        <v>620</v>
      </c>
    </row>
    <row r="37" customFormat="false" ht="15" hidden="false" customHeight="false" outlineLevel="0" collapsed="false">
      <c r="A37" s="6" t="s">
        <v>268</v>
      </c>
      <c r="B37" s="6" t="s">
        <v>621</v>
      </c>
      <c r="C37" s="7" t="s">
        <v>489</v>
      </c>
      <c r="D37" s="6" t="s">
        <v>622</v>
      </c>
      <c r="E37" s="7" t="s">
        <v>605</v>
      </c>
      <c r="F37" s="6" t="s">
        <v>623</v>
      </c>
      <c r="G37" s="6" t="s">
        <v>624</v>
      </c>
      <c r="H37" s="9" t="s">
        <v>625</v>
      </c>
    </row>
    <row r="38" customFormat="false" ht="15" hidden="false" customHeight="false" outlineLevel="0" collapsed="false">
      <c r="A38" s="6" t="s">
        <v>268</v>
      </c>
      <c r="B38" s="6" t="s">
        <v>626</v>
      </c>
      <c r="C38" s="7" t="s">
        <v>494</v>
      </c>
      <c r="D38" s="6" t="s">
        <v>587</v>
      </c>
      <c r="E38" s="7" t="s">
        <v>605</v>
      </c>
      <c r="F38" s="6" t="s">
        <v>627</v>
      </c>
      <c r="G38" s="6" t="s">
        <v>628</v>
      </c>
      <c r="H38" s="9" t="s">
        <v>629</v>
      </c>
    </row>
    <row r="39" customFormat="false" ht="15" hidden="false" customHeight="false" outlineLevel="0" collapsed="false">
      <c r="A39" s="6" t="s">
        <v>268</v>
      </c>
      <c r="B39" s="6" t="s">
        <v>630</v>
      </c>
      <c r="C39" s="7" t="s">
        <v>498</v>
      </c>
      <c r="D39" s="6" t="s">
        <v>468</v>
      </c>
      <c r="E39" s="7" t="s">
        <v>605</v>
      </c>
      <c r="F39" s="6" t="s">
        <v>631</v>
      </c>
      <c r="G39" s="6" t="s">
        <v>632</v>
      </c>
      <c r="H39" s="9" t="s">
        <v>633</v>
      </c>
    </row>
    <row r="40" customFormat="false" ht="15" hidden="false" customHeight="false" outlineLevel="0" collapsed="false">
      <c r="A40" s="6" t="s">
        <v>268</v>
      </c>
      <c r="B40" s="6" t="s">
        <v>634</v>
      </c>
      <c r="C40" s="7" t="s">
        <v>592</v>
      </c>
      <c r="D40" s="6" t="s">
        <v>468</v>
      </c>
      <c r="E40" s="7" t="s">
        <v>605</v>
      </c>
      <c r="F40" s="6" t="s">
        <v>635</v>
      </c>
      <c r="G40" s="6" t="s">
        <v>636</v>
      </c>
      <c r="H40" s="9" t="s">
        <v>637</v>
      </c>
    </row>
    <row r="41" customFormat="false" ht="23.85" hidden="false" customHeight="false" outlineLevel="0" collapsed="false">
      <c r="A41" s="6" t="s">
        <v>268</v>
      </c>
      <c r="B41" s="6" t="s">
        <v>638</v>
      </c>
      <c r="C41" s="7" t="s">
        <v>502</v>
      </c>
      <c r="D41" s="6" t="s">
        <v>468</v>
      </c>
      <c r="E41" s="7" t="s">
        <v>605</v>
      </c>
      <c r="F41" s="6" t="s">
        <v>639</v>
      </c>
      <c r="G41" s="6" t="s">
        <v>640</v>
      </c>
      <c r="H41" s="9" t="s">
        <v>641</v>
      </c>
    </row>
    <row r="42" customFormat="false" ht="15" hidden="false" customHeight="false" outlineLevel="0" collapsed="false">
      <c r="A42" s="6" t="s">
        <v>268</v>
      </c>
      <c r="B42" s="6" t="s">
        <v>642</v>
      </c>
      <c r="C42" s="7" t="s">
        <v>507</v>
      </c>
      <c r="D42" s="6" t="s">
        <v>468</v>
      </c>
      <c r="E42" s="7" t="s">
        <v>605</v>
      </c>
      <c r="F42" s="6" t="s">
        <v>643</v>
      </c>
      <c r="G42" s="6" t="s">
        <v>644</v>
      </c>
      <c r="H42" s="9" t="s">
        <v>645</v>
      </c>
    </row>
    <row r="43" customFormat="false" ht="15" hidden="false" customHeight="false" outlineLevel="0" collapsed="false">
      <c r="A43" s="6" t="s">
        <v>268</v>
      </c>
      <c r="B43" s="6" t="s">
        <v>646</v>
      </c>
      <c r="C43" s="7" t="s">
        <v>647</v>
      </c>
      <c r="D43" s="6" t="s">
        <v>468</v>
      </c>
      <c r="E43" s="7" t="s">
        <v>605</v>
      </c>
      <c r="F43" s="6" t="s">
        <v>648</v>
      </c>
      <c r="G43" s="6" t="s">
        <v>43</v>
      </c>
      <c r="H43" s="9" t="s">
        <v>649</v>
      </c>
    </row>
    <row r="44" customFormat="false" ht="15" hidden="false" customHeight="false" outlineLevel="0" collapsed="false">
      <c r="A44" s="6" t="s">
        <v>268</v>
      </c>
      <c r="B44" s="6" t="s">
        <v>650</v>
      </c>
      <c r="C44" s="7" t="s">
        <v>651</v>
      </c>
      <c r="D44" s="6" t="s">
        <v>468</v>
      </c>
      <c r="E44" s="7" t="s">
        <v>652</v>
      </c>
      <c r="F44" s="6" t="s">
        <v>653</v>
      </c>
      <c r="G44" s="6" t="s">
        <v>43</v>
      </c>
      <c r="H44" s="9" t="s">
        <v>654</v>
      </c>
    </row>
    <row r="45" customFormat="false" ht="15" hidden="false" customHeight="false" outlineLevel="0" collapsed="false">
      <c r="A45" s="6" t="s">
        <v>268</v>
      </c>
      <c r="B45" s="6" t="s">
        <v>655</v>
      </c>
      <c r="C45" s="7" t="s">
        <v>512</v>
      </c>
      <c r="D45" s="6" t="s">
        <v>468</v>
      </c>
      <c r="E45" s="7" t="s">
        <v>605</v>
      </c>
      <c r="F45" s="6" t="s">
        <v>656</v>
      </c>
      <c r="G45" s="6" t="s">
        <v>657</v>
      </c>
      <c r="H45" s="9" t="s">
        <v>658</v>
      </c>
    </row>
    <row r="46" customFormat="false" ht="15" hidden="false" customHeight="false" outlineLevel="0" collapsed="false">
      <c r="A46" s="6" t="s">
        <v>268</v>
      </c>
      <c r="B46" s="6" t="s">
        <v>659</v>
      </c>
      <c r="C46" s="7" t="s">
        <v>518</v>
      </c>
      <c r="D46" s="6" t="s">
        <v>468</v>
      </c>
      <c r="E46" s="7" t="s">
        <v>605</v>
      </c>
      <c r="F46" s="6" t="s">
        <v>660</v>
      </c>
      <c r="G46" s="6" t="s">
        <v>661</v>
      </c>
      <c r="H46" s="9" t="s">
        <v>662</v>
      </c>
    </row>
    <row r="47" customFormat="false" ht="15" hidden="false" customHeight="false" outlineLevel="0" collapsed="false">
      <c r="A47" s="6" t="s">
        <v>268</v>
      </c>
      <c r="B47" s="6" t="s">
        <v>663</v>
      </c>
      <c r="C47" s="7" t="s">
        <v>523</v>
      </c>
      <c r="D47" s="6" t="s">
        <v>468</v>
      </c>
      <c r="E47" s="7" t="s">
        <v>605</v>
      </c>
      <c r="F47" s="6" t="s">
        <v>664</v>
      </c>
      <c r="G47" s="6" t="s">
        <v>43</v>
      </c>
      <c r="H47" s="9" t="s">
        <v>665</v>
      </c>
    </row>
    <row r="48" customFormat="false" ht="15" hidden="false" customHeight="false" outlineLevel="0" collapsed="false">
      <c r="A48" s="6" t="s">
        <v>268</v>
      </c>
      <c r="B48" s="6" t="s">
        <v>666</v>
      </c>
      <c r="C48" s="7" t="s">
        <v>667</v>
      </c>
      <c r="D48" s="6" t="s">
        <v>468</v>
      </c>
      <c r="E48" s="7" t="s">
        <v>605</v>
      </c>
      <c r="F48" s="6" t="s">
        <v>668</v>
      </c>
      <c r="G48" s="6" t="s">
        <v>43</v>
      </c>
      <c r="H48" s="9" t="s">
        <v>669</v>
      </c>
    </row>
    <row r="49" customFormat="false" ht="15" hidden="false" customHeight="false" outlineLevel="0" collapsed="false">
      <c r="A49" s="6" t="s">
        <v>268</v>
      </c>
      <c r="B49" s="6" t="s">
        <v>670</v>
      </c>
      <c r="C49" s="7" t="s">
        <v>528</v>
      </c>
      <c r="D49" s="6" t="s">
        <v>468</v>
      </c>
      <c r="E49" s="7" t="s">
        <v>605</v>
      </c>
      <c r="F49" s="6" t="s">
        <v>671</v>
      </c>
      <c r="G49" s="6" t="s">
        <v>43</v>
      </c>
      <c r="H49" s="9" t="s">
        <v>672</v>
      </c>
    </row>
    <row r="50" customFormat="false" ht="15" hidden="false" customHeight="false" outlineLevel="0" collapsed="false">
      <c r="A50" s="6" t="s">
        <v>268</v>
      </c>
      <c r="B50" s="6" t="s">
        <v>673</v>
      </c>
      <c r="C50" s="7" t="s">
        <v>533</v>
      </c>
      <c r="D50" s="6" t="s">
        <v>468</v>
      </c>
      <c r="E50" s="7" t="s">
        <v>605</v>
      </c>
      <c r="F50" s="6" t="s">
        <v>674</v>
      </c>
      <c r="G50" s="6" t="s">
        <v>675</v>
      </c>
      <c r="H50" s="9" t="s">
        <v>676</v>
      </c>
    </row>
    <row r="51" customFormat="false" ht="15" hidden="false" customHeight="false" outlineLevel="0" collapsed="false">
      <c r="A51" s="6" t="s">
        <v>268</v>
      </c>
      <c r="B51" s="6" t="s">
        <v>677</v>
      </c>
      <c r="C51" s="7" t="s">
        <v>678</v>
      </c>
      <c r="D51" s="6" t="s">
        <v>468</v>
      </c>
      <c r="E51" s="7" t="s">
        <v>605</v>
      </c>
      <c r="F51" s="6" t="s">
        <v>679</v>
      </c>
      <c r="G51" s="6" t="s">
        <v>43</v>
      </c>
      <c r="H51" s="9" t="s">
        <v>680</v>
      </c>
    </row>
    <row r="52" customFormat="false" ht="15" hidden="false" customHeight="false" outlineLevel="0" collapsed="false">
      <c r="A52" s="6" t="s">
        <v>268</v>
      </c>
      <c r="B52" s="6" t="s">
        <v>681</v>
      </c>
      <c r="C52" s="7" t="s">
        <v>682</v>
      </c>
      <c r="D52" s="6" t="s">
        <v>468</v>
      </c>
      <c r="E52" s="7" t="s">
        <v>605</v>
      </c>
      <c r="F52" s="6" t="s">
        <v>683</v>
      </c>
      <c r="G52" s="6" t="s">
        <v>43</v>
      </c>
      <c r="H52" s="9" t="s">
        <v>684</v>
      </c>
    </row>
    <row r="53" customFormat="false" ht="15" hidden="false" customHeight="false" outlineLevel="0" collapsed="false">
      <c r="A53" s="10" t="s">
        <v>310</v>
      </c>
      <c r="B53" s="10" t="s">
        <v>621</v>
      </c>
      <c r="C53" s="11" t="s">
        <v>467</v>
      </c>
      <c r="D53" s="10" t="s">
        <v>622</v>
      </c>
      <c r="E53" s="11" t="s">
        <v>685</v>
      </c>
      <c r="F53" s="10" t="s">
        <v>686</v>
      </c>
      <c r="G53" s="10" t="s">
        <v>687</v>
      </c>
      <c r="H53" s="12" t="s">
        <v>688</v>
      </c>
    </row>
    <row r="54" customFormat="false" ht="15" hidden="false" customHeight="false" outlineLevel="0" collapsed="false">
      <c r="A54" s="6" t="s">
        <v>310</v>
      </c>
      <c r="B54" s="6" t="s">
        <v>689</v>
      </c>
      <c r="C54" s="7" t="s">
        <v>474</v>
      </c>
      <c r="D54" s="6" t="s">
        <v>468</v>
      </c>
      <c r="E54" s="7" t="s">
        <v>43</v>
      </c>
      <c r="F54" s="6" t="s">
        <v>690</v>
      </c>
      <c r="G54" s="6" t="s">
        <v>691</v>
      </c>
      <c r="H54" s="9" t="s">
        <v>692</v>
      </c>
    </row>
    <row r="55" customFormat="false" ht="15" hidden="false" customHeight="false" outlineLevel="0" collapsed="false">
      <c r="A55" s="6" t="s">
        <v>310</v>
      </c>
      <c r="B55" s="6" t="s">
        <v>693</v>
      </c>
      <c r="C55" s="7" t="s">
        <v>480</v>
      </c>
      <c r="D55" s="6" t="s">
        <v>468</v>
      </c>
      <c r="E55" s="7" t="s">
        <v>605</v>
      </c>
      <c r="F55" s="6" t="s">
        <v>694</v>
      </c>
      <c r="G55" s="6" t="s">
        <v>695</v>
      </c>
      <c r="H55" s="9" t="s">
        <v>696</v>
      </c>
    </row>
    <row r="56" customFormat="false" ht="15" hidden="false" customHeight="false" outlineLevel="0" collapsed="false">
      <c r="A56" s="6" t="s">
        <v>310</v>
      </c>
      <c r="B56" s="6" t="s">
        <v>604</v>
      </c>
      <c r="C56" s="7" t="s">
        <v>485</v>
      </c>
      <c r="D56" s="6" t="s">
        <v>468</v>
      </c>
      <c r="E56" s="7" t="s">
        <v>605</v>
      </c>
      <c r="F56" s="6" t="s">
        <v>697</v>
      </c>
      <c r="G56" s="6" t="s">
        <v>698</v>
      </c>
      <c r="H56" s="9" t="s">
        <v>699</v>
      </c>
    </row>
    <row r="57" customFormat="false" ht="15" hidden="false" customHeight="false" outlineLevel="0" collapsed="false">
      <c r="A57" s="6" t="s">
        <v>310</v>
      </c>
      <c r="B57" s="6" t="s">
        <v>609</v>
      </c>
      <c r="C57" s="7" t="s">
        <v>489</v>
      </c>
      <c r="D57" s="6" t="s">
        <v>468</v>
      </c>
      <c r="E57" s="7" t="s">
        <v>605</v>
      </c>
      <c r="F57" s="6" t="s">
        <v>700</v>
      </c>
      <c r="G57" s="6" t="s">
        <v>701</v>
      </c>
      <c r="H57" s="9" t="s">
        <v>702</v>
      </c>
    </row>
    <row r="58" customFormat="false" ht="15" hidden="false" customHeight="false" outlineLevel="0" collapsed="false">
      <c r="A58" s="6" t="s">
        <v>310</v>
      </c>
      <c r="B58" s="6" t="s">
        <v>703</v>
      </c>
      <c r="C58" s="7" t="s">
        <v>494</v>
      </c>
      <c r="D58" s="6" t="s">
        <v>468</v>
      </c>
      <c r="E58" s="7" t="s">
        <v>605</v>
      </c>
      <c r="F58" s="6" t="s">
        <v>704</v>
      </c>
      <c r="G58" s="6" t="s">
        <v>705</v>
      </c>
      <c r="H58" s="9" t="s">
        <v>706</v>
      </c>
    </row>
    <row r="59" customFormat="false" ht="15" hidden="false" customHeight="false" outlineLevel="0" collapsed="false">
      <c r="A59" s="6" t="s">
        <v>310</v>
      </c>
      <c r="B59" s="6" t="s">
        <v>707</v>
      </c>
      <c r="C59" s="7" t="s">
        <v>498</v>
      </c>
      <c r="D59" s="6" t="s">
        <v>468</v>
      </c>
      <c r="E59" s="7" t="s">
        <v>605</v>
      </c>
      <c r="F59" s="6" t="s">
        <v>708</v>
      </c>
      <c r="G59" s="6" t="s">
        <v>43</v>
      </c>
      <c r="H59" s="9" t="s">
        <v>709</v>
      </c>
    </row>
    <row r="60" customFormat="false" ht="15" hidden="false" customHeight="false" outlineLevel="0" collapsed="false">
      <c r="A60" s="10" t="s">
        <v>281</v>
      </c>
      <c r="B60" s="10" t="s">
        <v>710</v>
      </c>
      <c r="C60" s="11" t="s">
        <v>467</v>
      </c>
      <c r="D60" s="10" t="s">
        <v>468</v>
      </c>
      <c r="E60" s="11" t="s">
        <v>39</v>
      </c>
      <c r="F60" s="10" t="s">
        <v>711</v>
      </c>
      <c r="G60" s="10" t="s">
        <v>712</v>
      </c>
      <c r="H60" s="12" t="s">
        <v>713</v>
      </c>
    </row>
    <row r="61" customFormat="false" ht="15" hidden="false" customHeight="false" outlineLevel="0" collapsed="false">
      <c r="A61" s="6" t="s">
        <v>281</v>
      </c>
      <c r="B61" s="6" t="s">
        <v>714</v>
      </c>
      <c r="C61" s="7" t="s">
        <v>474</v>
      </c>
      <c r="D61" s="6" t="s">
        <v>468</v>
      </c>
      <c r="E61" s="7" t="s">
        <v>39</v>
      </c>
      <c r="F61" s="6" t="s">
        <v>715</v>
      </c>
      <c r="G61" s="6" t="s">
        <v>43</v>
      </c>
      <c r="H61" s="9" t="s">
        <v>716</v>
      </c>
    </row>
    <row r="62" customFormat="false" ht="15" hidden="false" customHeight="false" outlineLevel="0" collapsed="false">
      <c r="A62" s="6" t="s">
        <v>281</v>
      </c>
      <c r="B62" s="6" t="s">
        <v>717</v>
      </c>
      <c r="C62" s="7" t="s">
        <v>480</v>
      </c>
      <c r="D62" s="6" t="s">
        <v>468</v>
      </c>
      <c r="E62" s="7" t="s">
        <v>39</v>
      </c>
      <c r="F62" s="6" t="s">
        <v>718</v>
      </c>
      <c r="G62" s="6" t="s">
        <v>712</v>
      </c>
      <c r="H62" s="9" t="s">
        <v>719</v>
      </c>
    </row>
    <row r="63" customFormat="false" ht="15" hidden="false" customHeight="false" outlineLevel="0" collapsed="false">
      <c r="A63" s="6" t="s">
        <v>281</v>
      </c>
      <c r="B63" s="6" t="s">
        <v>720</v>
      </c>
      <c r="C63" s="7" t="s">
        <v>485</v>
      </c>
      <c r="D63" s="6" t="s">
        <v>468</v>
      </c>
      <c r="E63" s="7" t="s">
        <v>39</v>
      </c>
      <c r="F63" s="6" t="s">
        <v>721</v>
      </c>
      <c r="G63" s="6" t="s">
        <v>712</v>
      </c>
      <c r="H63" s="9" t="s">
        <v>722</v>
      </c>
    </row>
    <row r="64" customFormat="false" ht="15" hidden="false" customHeight="false" outlineLevel="0" collapsed="false">
      <c r="A64" s="6" t="s">
        <v>281</v>
      </c>
      <c r="B64" s="6" t="s">
        <v>723</v>
      </c>
      <c r="C64" s="7" t="s">
        <v>489</v>
      </c>
      <c r="D64" s="6" t="s">
        <v>468</v>
      </c>
      <c r="E64" s="7" t="s">
        <v>39</v>
      </c>
      <c r="F64" s="6" t="s">
        <v>724</v>
      </c>
      <c r="G64" s="6" t="s">
        <v>43</v>
      </c>
      <c r="H64" s="9" t="s">
        <v>725</v>
      </c>
    </row>
    <row r="65" customFormat="false" ht="15" hidden="false" customHeight="false" outlineLevel="0" collapsed="false">
      <c r="A65" s="6" t="s">
        <v>281</v>
      </c>
      <c r="B65" s="6" t="s">
        <v>726</v>
      </c>
      <c r="C65" s="7" t="s">
        <v>494</v>
      </c>
      <c r="D65" s="6" t="s">
        <v>727</v>
      </c>
      <c r="E65" s="7" t="s">
        <v>728</v>
      </c>
      <c r="F65" s="6" t="s">
        <v>729</v>
      </c>
      <c r="G65" s="6" t="s">
        <v>712</v>
      </c>
      <c r="H65" s="9" t="s">
        <v>730</v>
      </c>
    </row>
    <row r="66" customFormat="false" ht="15" hidden="false" customHeight="false" outlineLevel="0" collapsed="false">
      <c r="A66" s="10" t="s">
        <v>286</v>
      </c>
      <c r="B66" s="10" t="s">
        <v>731</v>
      </c>
      <c r="C66" s="11" t="s">
        <v>467</v>
      </c>
      <c r="D66" s="10" t="s">
        <v>468</v>
      </c>
      <c r="E66" s="11" t="s">
        <v>732</v>
      </c>
      <c r="F66" s="10" t="s">
        <v>733</v>
      </c>
      <c r="G66" s="10" t="s">
        <v>43</v>
      </c>
      <c r="H66" s="12" t="s">
        <v>734</v>
      </c>
    </row>
    <row r="67" customFormat="false" ht="15" hidden="false" customHeight="false" outlineLevel="0" collapsed="false">
      <c r="A67" s="6" t="s">
        <v>286</v>
      </c>
      <c r="B67" s="6" t="s">
        <v>735</v>
      </c>
      <c r="C67" s="7" t="s">
        <v>474</v>
      </c>
      <c r="D67" s="6" t="s">
        <v>468</v>
      </c>
      <c r="E67" s="7" t="s">
        <v>39</v>
      </c>
      <c r="F67" s="6" t="s">
        <v>736</v>
      </c>
      <c r="G67" s="6" t="s">
        <v>43</v>
      </c>
      <c r="H67" s="9" t="s">
        <v>737</v>
      </c>
    </row>
    <row r="68" customFormat="false" ht="15" hidden="false" customHeight="false" outlineLevel="0" collapsed="false">
      <c r="A68" s="6" t="s">
        <v>286</v>
      </c>
      <c r="B68" s="6" t="s">
        <v>738</v>
      </c>
      <c r="C68" s="7" t="s">
        <v>480</v>
      </c>
      <c r="D68" s="6" t="s">
        <v>468</v>
      </c>
      <c r="E68" s="7" t="s">
        <v>39</v>
      </c>
      <c r="F68" s="6" t="s">
        <v>739</v>
      </c>
      <c r="G68" s="6" t="s">
        <v>740</v>
      </c>
      <c r="H68" s="9" t="s">
        <v>741</v>
      </c>
    </row>
    <row r="69" customFormat="false" ht="15" hidden="false" customHeight="false" outlineLevel="0" collapsed="false">
      <c r="A69" s="6" t="s">
        <v>286</v>
      </c>
      <c r="B69" s="6" t="s">
        <v>742</v>
      </c>
      <c r="C69" s="7" t="s">
        <v>485</v>
      </c>
      <c r="D69" s="6" t="s">
        <v>468</v>
      </c>
      <c r="E69" s="7" t="s">
        <v>39</v>
      </c>
      <c r="F69" s="6" t="s">
        <v>743</v>
      </c>
      <c r="G69" s="6" t="s">
        <v>744</v>
      </c>
      <c r="H69" s="9" t="s">
        <v>745</v>
      </c>
    </row>
    <row r="70" customFormat="false" ht="15" hidden="false" customHeight="false" outlineLevel="0" collapsed="false">
      <c r="A70" s="6" t="s">
        <v>286</v>
      </c>
      <c r="B70" s="6" t="s">
        <v>746</v>
      </c>
      <c r="C70" s="7" t="s">
        <v>489</v>
      </c>
      <c r="D70" s="6" t="s">
        <v>468</v>
      </c>
      <c r="E70" s="7" t="s">
        <v>39</v>
      </c>
      <c r="F70" s="6" t="s">
        <v>747</v>
      </c>
      <c r="G70" s="6" t="s">
        <v>744</v>
      </c>
      <c r="H70" s="9" t="s">
        <v>748</v>
      </c>
    </row>
    <row r="71" customFormat="false" ht="15" hidden="false" customHeight="false" outlineLevel="0" collapsed="false">
      <c r="A71" s="6" t="s">
        <v>286</v>
      </c>
      <c r="B71" s="6" t="s">
        <v>749</v>
      </c>
      <c r="C71" s="7" t="s">
        <v>494</v>
      </c>
      <c r="D71" s="6" t="s">
        <v>468</v>
      </c>
      <c r="E71" s="7" t="s">
        <v>39</v>
      </c>
      <c r="F71" s="6" t="s">
        <v>750</v>
      </c>
      <c r="G71" s="6" t="s">
        <v>744</v>
      </c>
      <c r="H71" s="9" t="s">
        <v>751</v>
      </c>
    </row>
    <row r="72" customFormat="false" ht="15" hidden="false" customHeight="false" outlineLevel="0" collapsed="false">
      <c r="A72" s="6" t="s">
        <v>286</v>
      </c>
      <c r="B72" s="6" t="s">
        <v>752</v>
      </c>
      <c r="C72" s="7" t="s">
        <v>502</v>
      </c>
      <c r="D72" s="6" t="s">
        <v>468</v>
      </c>
      <c r="E72" s="7" t="s">
        <v>39</v>
      </c>
      <c r="F72" s="6" t="s">
        <v>753</v>
      </c>
      <c r="G72" s="6" t="s">
        <v>43</v>
      </c>
      <c r="H72" s="9" t="s">
        <v>754</v>
      </c>
    </row>
    <row r="73" customFormat="false" ht="15" hidden="false" customHeight="false" outlineLevel="0" collapsed="false">
      <c r="A73" s="10" t="s">
        <v>351</v>
      </c>
      <c r="B73" s="10" t="s">
        <v>604</v>
      </c>
      <c r="C73" s="11" t="s">
        <v>467</v>
      </c>
      <c r="D73" s="10" t="s">
        <v>468</v>
      </c>
      <c r="E73" s="11" t="s">
        <v>605</v>
      </c>
      <c r="F73" s="10" t="s">
        <v>697</v>
      </c>
      <c r="G73" s="10" t="s">
        <v>755</v>
      </c>
      <c r="H73" s="12" t="s">
        <v>756</v>
      </c>
    </row>
    <row r="74" customFormat="false" ht="15" hidden="false" customHeight="false" outlineLevel="0" collapsed="false">
      <c r="A74" s="6" t="s">
        <v>351</v>
      </c>
      <c r="B74" s="6" t="s">
        <v>609</v>
      </c>
      <c r="C74" s="7" t="s">
        <v>474</v>
      </c>
      <c r="D74" s="6" t="s">
        <v>468</v>
      </c>
      <c r="E74" s="7" t="s">
        <v>605</v>
      </c>
      <c r="F74" s="6" t="s">
        <v>757</v>
      </c>
      <c r="G74" s="6" t="s">
        <v>758</v>
      </c>
      <c r="H74" s="9" t="s">
        <v>759</v>
      </c>
    </row>
    <row r="75" customFormat="false" ht="15" hidden="false" customHeight="false" outlineLevel="0" collapsed="false">
      <c r="A75" s="6" t="s">
        <v>351</v>
      </c>
      <c r="B75" s="6" t="s">
        <v>760</v>
      </c>
      <c r="C75" s="7" t="s">
        <v>480</v>
      </c>
      <c r="D75" s="6" t="s">
        <v>468</v>
      </c>
      <c r="E75" s="7" t="s">
        <v>605</v>
      </c>
      <c r="F75" s="6" t="s">
        <v>761</v>
      </c>
      <c r="G75" s="6" t="s">
        <v>43</v>
      </c>
      <c r="H75" s="9" t="s">
        <v>762</v>
      </c>
    </row>
    <row r="76" customFormat="false" ht="15" hidden="false" customHeight="false" outlineLevel="0" collapsed="false">
      <c r="A76" s="6" t="s">
        <v>351</v>
      </c>
      <c r="B76" s="6" t="s">
        <v>763</v>
      </c>
      <c r="C76" s="7" t="s">
        <v>485</v>
      </c>
      <c r="D76" s="6" t="s">
        <v>468</v>
      </c>
      <c r="E76" s="7" t="s">
        <v>605</v>
      </c>
      <c r="F76" s="6" t="s">
        <v>764</v>
      </c>
      <c r="G76" s="6" t="s">
        <v>43</v>
      </c>
      <c r="H76" s="9" t="s">
        <v>765</v>
      </c>
    </row>
    <row r="77" customFormat="false" ht="15" hidden="false" customHeight="false" outlineLevel="0" collapsed="false">
      <c r="A77" s="6" t="s">
        <v>351</v>
      </c>
      <c r="B77" s="6" t="s">
        <v>689</v>
      </c>
      <c r="C77" s="7" t="s">
        <v>489</v>
      </c>
      <c r="D77" s="6" t="s">
        <v>468</v>
      </c>
      <c r="E77" s="7" t="s">
        <v>605</v>
      </c>
      <c r="F77" s="6" t="s">
        <v>766</v>
      </c>
      <c r="G77" s="6" t="s">
        <v>43</v>
      </c>
      <c r="H77" s="9" t="s">
        <v>767</v>
      </c>
    </row>
    <row r="78" customFormat="false" ht="15" hidden="false" customHeight="false" outlineLevel="0" collapsed="false">
      <c r="A78" s="6" t="s">
        <v>351</v>
      </c>
      <c r="B78" s="6" t="s">
        <v>768</v>
      </c>
      <c r="C78" s="7" t="s">
        <v>494</v>
      </c>
      <c r="D78" s="6" t="s">
        <v>622</v>
      </c>
      <c r="E78" s="7" t="s">
        <v>605</v>
      </c>
      <c r="F78" s="6" t="s">
        <v>769</v>
      </c>
      <c r="G78" s="6" t="s">
        <v>770</v>
      </c>
      <c r="H78" s="9" t="s">
        <v>771</v>
      </c>
    </row>
    <row r="79" customFormat="false" ht="15" hidden="false" customHeight="false" outlineLevel="0" collapsed="false">
      <c r="A79" s="6" t="s">
        <v>351</v>
      </c>
      <c r="B79" s="6" t="s">
        <v>772</v>
      </c>
      <c r="C79" s="7" t="s">
        <v>498</v>
      </c>
      <c r="D79" s="6" t="s">
        <v>577</v>
      </c>
      <c r="E79" s="7" t="s">
        <v>605</v>
      </c>
      <c r="F79" s="6" t="s">
        <v>773</v>
      </c>
      <c r="G79" s="6" t="s">
        <v>774</v>
      </c>
      <c r="H79" s="9" t="s">
        <v>775</v>
      </c>
    </row>
    <row r="80" customFormat="false" ht="15" hidden="false" customHeight="false" outlineLevel="0" collapsed="false">
      <c r="A80" s="6" t="s">
        <v>351</v>
      </c>
      <c r="B80" s="6" t="s">
        <v>776</v>
      </c>
      <c r="C80" s="7" t="s">
        <v>592</v>
      </c>
      <c r="D80" s="6" t="s">
        <v>468</v>
      </c>
      <c r="E80" s="7" t="s">
        <v>605</v>
      </c>
      <c r="F80" s="6" t="s">
        <v>777</v>
      </c>
      <c r="G80" s="6" t="s">
        <v>778</v>
      </c>
      <c r="H80" s="9" t="s">
        <v>779</v>
      </c>
    </row>
    <row r="81" customFormat="false" ht="15" hidden="false" customHeight="false" outlineLevel="0" collapsed="false">
      <c r="A81" s="6" t="s">
        <v>351</v>
      </c>
      <c r="B81" s="6" t="s">
        <v>780</v>
      </c>
      <c r="C81" s="7" t="s">
        <v>502</v>
      </c>
      <c r="D81" s="6" t="s">
        <v>468</v>
      </c>
      <c r="E81" s="7" t="s">
        <v>781</v>
      </c>
      <c r="F81" s="6" t="s">
        <v>782</v>
      </c>
      <c r="G81" s="6" t="s">
        <v>43</v>
      </c>
      <c r="H81" s="9" t="s">
        <v>783</v>
      </c>
    </row>
    <row r="82" customFormat="false" ht="15" hidden="false" customHeight="false" outlineLevel="0" collapsed="false">
      <c r="A82" s="6" t="s">
        <v>351</v>
      </c>
      <c r="B82" s="6" t="s">
        <v>784</v>
      </c>
      <c r="C82" s="7" t="s">
        <v>507</v>
      </c>
      <c r="D82" s="6" t="s">
        <v>468</v>
      </c>
      <c r="E82" s="7" t="s">
        <v>605</v>
      </c>
      <c r="F82" s="6" t="s">
        <v>785</v>
      </c>
      <c r="G82" s="6" t="s">
        <v>43</v>
      </c>
      <c r="H82" s="9" t="s">
        <v>786</v>
      </c>
    </row>
    <row r="83" customFormat="false" ht="23.85" hidden="false" customHeight="false" outlineLevel="0" collapsed="false">
      <c r="A83" s="10" t="s">
        <v>294</v>
      </c>
      <c r="B83" s="10" t="s">
        <v>604</v>
      </c>
      <c r="C83" s="11" t="s">
        <v>467</v>
      </c>
      <c r="D83" s="10" t="s">
        <v>468</v>
      </c>
      <c r="E83" s="11" t="s">
        <v>605</v>
      </c>
      <c r="F83" s="10" t="s">
        <v>697</v>
      </c>
      <c r="G83" s="10" t="s">
        <v>787</v>
      </c>
      <c r="H83" s="12" t="s">
        <v>788</v>
      </c>
    </row>
    <row r="84" customFormat="false" ht="15" hidden="false" customHeight="false" outlineLevel="0" collapsed="false">
      <c r="A84" s="6" t="s">
        <v>294</v>
      </c>
      <c r="B84" s="6" t="s">
        <v>609</v>
      </c>
      <c r="C84" s="7" t="s">
        <v>474</v>
      </c>
      <c r="D84" s="6" t="s">
        <v>468</v>
      </c>
      <c r="E84" s="7" t="s">
        <v>605</v>
      </c>
      <c r="F84" s="6" t="s">
        <v>789</v>
      </c>
      <c r="G84" s="6" t="s">
        <v>790</v>
      </c>
      <c r="H84" s="9" t="s">
        <v>791</v>
      </c>
    </row>
    <row r="85" customFormat="false" ht="15" hidden="false" customHeight="false" outlineLevel="0" collapsed="false">
      <c r="A85" s="6" t="s">
        <v>294</v>
      </c>
      <c r="B85" s="6" t="s">
        <v>621</v>
      </c>
      <c r="C85" s="7" t="s">
        <v>480</v>
      </c>
      <c r="D85" s="6" t="s">
        <v>577</v>
      </c>
      <c r="E85" s="7" t="s">
        <v>781</v>
      </c>
      <c r="F85" s="6" t="s">
        <v>686</v>
      </c>
      <c r="G85" s="6" t="s">
        <v>792</v>
      </c>
      <c r="H85" s="9" t="s">
        <v>793</v>
      </c>
    </row>
    <row r="86" customFormat="false" ht="15" hidden="false" customHeight="false" outlineLevel="0" collapsed="false">
      <c r="A86" s="6" t="s">
        <v>294</v>
      </c>
      <c r="B86" s="6" t="s">
        <v>689</v>
      </c>
      <c r="C86" s="7" t="s">
        <v>485</v>
      </c>
      <c r="D86" s="6" t="s">
        <v>468</v>
      </c>
      <c r="E86" s="7" t="s">
        <v>605</v>
      </c>
      <c r="F86" s="6" t="s">
        <v>766</v>
      </c>
      <c r="G86" s="6" t="s">
        <v>43</v>
      </c>
      <c r="H86" s="9" t="s">
        <v>794</v>
      </c>
    </row>
    <row r="87" customFormat="false" ht="15" hidden="false" customHeight="false" outlineLevel="0" collapsed="false">
      <c r="A87" s="6" t="s">
        <v>294</v>
      </c>
      <c r="B87" s="6" t="s">
        <v>795</v>
      </c>
      <c r="C87" s="7" t="s">
        <v>489</v>
      </c>
      <c r="D87" s="6" t="s">
        <v>468</v>
      </c>
      <c r="E87" s="7" t="s">
        <v>796</v>
      </c>
      <c r="F87" s="6" t="s">
        <v>797</v>
      </c>
      <c r="G87" s="6" t="s">
        <v>43</v>
      </c>
      <c r="H87" s="9" t="s">
        <v>798</v>
      </c>
    </row>
    <row r="88" customFormat="false" ht="15" hidden="false" customHeight="false" outlineLevel="0" collapsed="false">
      <c r="A88" s="6" t="s">
        <v>294</v>
      </c>
      <c r="B88" s="6" t="s">
        <v>799</v>
      </c>
      <c r="C88" s="7" t="s">
        <v>592</v>
      </c>
      <c r="D88" s="6" t="s">
        <v>468</v>
      </c>
      <c r="E88" s="7" t="s">
        <v>605</v>
      </c>
      <c r="F88" s="6" t="s">
        <v>800</v>
      </c>
      <c r="G88" s="6" t="s">
        <v>43</v>
      </c>
      <c r="H88" s="9" t="s">
        <v>801</v>
      </c>
    </row>
    <row r="89" customFormat="false" ht="15" hidden="false" customHeight="false" outlineLevel="0" collapsed="false">
      <c r="A89" s="6" t="s">
        <v>294</v>
      </c>
      <c r="B89" s="6" t="s">
        <v>802</v>
      </c>
      <c r="C89" s="7" t="s">
        <v>502</v>
      </c>
      <c r="D89" s="6" t="s">
        <v>468</v>
      </c>
      <c r="E89" s="7" t="s">
        <v>781</v>
      </c>
      <c r="F89" s="6" t="s">
        <v>803</v>
      </c>
      <c r="G89" s="6" t="s">
        <v>43</v>
      </c>
      <c r="H89" s="9" t="s">
        <v>804</v>
      </c>
    </row>
    <row r="90" customFormat="false" ht="15" hidden="false" customHeight="false" outlineLevel="0" collapsed="false">
      <c r="A90" s="10" t="s">
        <v>208</v>
      </c>
      <c r="B90" s="10" t="s">
        <v>805</v>
      </c>
      <c r="C90" s="11" t="s">
        <v>467</v>
      </c>
      <c r="D90" s="10" t="s">
        <v>468</v>
      </c>
      <c r="E90" s="11" t="s">
        <v>39</v>
      </c>
      <c r="F90" s="10" t="s">
        <v>806</v>
      </c>
      <c r="G90" s="10" t="s">
        <v>807</v>
      </c>
      <c r="H90" s="12" t="s">
        <v>808</v>
      </c>
    </row>
    <row r="91" customFormat="false" ht="15" hidden="false" customHeight="false" outlineLevel="0" collapsed="false">
      <c r="A91" s="6" t="s">
        <v>208</v>
      </c>
      <c r="B91" s="6" t="s">
        <v>809</v>
      </c>
      <c r="C91" s="7" t="s">
        <v>474</v>
      </c>
      <c r="D91" s="6" t="s">
        <v>587</v>
      </c>
      <c r="E91" s="7" t="s">
        <v>39</v>
      </c>
      <c r="F91" s="6" t="s">
        <v>810</v>
      </c>
      <c r="G91" s="6" t="s">
        <v>43</v>
      </c>
      <c r="H91" s="9" t="s">
        <v>811</v>
      </c>
    </row>
    <row r="92" customFormat="false" ht="15" hidden="false" customHeight="false" outlineLevel="0" collapsed="false">
      <c r="A92" s="6" t="s">
        <v>208</v>
      </c>
      <c r="B92" s="6" t="s">
        <v>812</v>
      </c>
      <c r="C92" s="7" t="s">
        <v>480</v>
      </c>
      <c r="D92" s="6" t="s">
        <v>587</v>
      </c>
      <c r="E92" s="7" t="s">
        <v>39</v>
      </c>
      <c r="F92" s="6" t="s">
        <v>813</v>
      </c>
      <c r="G92" s="6" t="s">
        <v>43</v>
      </c>
      <c r="H92" s="9" t="s">
        <v>814</v>
      </c>
    </row>
    <row r="93" customFormat="false" ht="15" hidden="false" customHeight="false" outlineLevel="0" collapsed="false">
      <c r="A93" s="6" t="s">
        <v>208</v>
      </c>
      <c r="B93" s="6" t="s">
        <v>621</v>
      </c>
      <c r="C93" s="7" t="s">
        <v>485</v>
      </c>
      <c r="D93" s="6" t="s">
        <v>468</v>
      </c>
      <c r="E93" s="7" t="s">
        <v>39</v>
      </c>
      <c r="F93" s="6" t="s">
        <v>815</v>
      </c>
      <c r="G93" s="6" t="s">
        <v>816</v>
      </c>
      <c r="H93" s="9" t="s">
        <v>817</v>
      </c>
    </row>
    <row r="94" customFormat="false" ht="15" hidden="false" customHeight="false" outlineLevel="0" collapsed="false">
      <c r="A94" s="6" t="s">
        <v>208</v>
      </c>
      <c r="B94" s="6" t="s">
        <v>466</v>
      </c>
      <c r="C94" s="7" t="s">
        <v>489</v>
      </c>
      <c r="D94" s="6" t="s">
        <v>468</v>
      </c>
      <c r="E94" s="7" t="s">
        <v>157</v>
      </c>
      <c r="F94" s="6" t="s">
        <v>818</v>
      </c>
      <c r="G94" s="6" t="s">
        <v>819</v>
      </c>
      <c r="H94" s="9" t="s">
        <v>820</v>
      </c>
    </row>
    <row r="95" customFormat="false" ht="15" hidden="false" customHeight="false" outlineLevel="0" collapsed="false">
      <c r="A95" s="6" t="s">
        <v>208</v>
      </c>
      <c r="B95" s="6" t="s">
        <v>821</v>
      </c>
      <c r="C95" s="7" t="s">
        <v>494</v>
      </c>
      <c r="D95" s="6" t="s">
        <v>468</v>
      </c>
      <c r="E95" s="7" t="s">
        <v>822</v>
      </c>
      <c r="F95" s="6" t="s">
        <v>823</v>
      </c>
      <c r="G95" s="6" t="s">
        <v>43</v>
      </c>
      <c r="H95" s="9" t="s">
        <v>824</v>
      </c>
    </row>
    <row r="96" customFormat="false" ht="15" hidden="false" customHeight="false" outlineLevel="0" collapsed="false">
      <c r="A96" s="10" t="s">
        <v>333</v>
      </c>
      <c r="B96" s="10" t="s">
        <v>466</v>
      </c>
      <c r="C96" s="11" t="s">
        <v>467</v>
      </c>
      <c r="D96" s="10" t="s">
        <v>468</v>
      </c>
      <c r="E96" s="11" t="s">
        <v>825</v>
      </c>
      <c r="F96" s="10" t="s">
        <v>826</v>
      </c>
      <c r="G96" s="10" t="s">
        <v>827</v>
      </c>
      <c r="H96" s="12" t="s">
        <v>828</v>
      </c>
    </row>
    <row r="97" customFormat="false" ht="15" hidden="false" customHeight="false" outlineLevel="0" collapsed="false">
      <c r="A97" s="6" t="s">
        <v>333</v>
      </c>
      <c r="B97" s="6" t="s">
        <v>546</v>
      </c>
      <c r="C97" s="7" t="s">
        <v>474</v>
      </c>
      <c r="D97" s="6" t="s">
        <v>468</v>
      </c>
      <c r="E97" s="7" t="s">
        <v>39</v>
      </c>
      <c r="F97" s="6" t="s">
        <v>829</v>
      </c>
      <c r="G97" s="6" t="s">
        <v>830</v>
      </c>
      <c r="H97" s="9" t="s">
        <v>831</v>
      </c>
    </row>
    <row r="98" customFormat="false" ht="23.85" hidden="false" customHeight="false" outlineLevel="0" collapsed="false">
      <c r="A98" s="10" t="s">
        <v>135</v>
      </c>
      <c r="B98" s="10" t="s">
        <v>832</v>
      </c>
      <c r="C98" s="11" t="s">
        <v>467</v>
      </c>
      <c r="D98" s="10" t="s">
        <v>468</v>
      </c>
      <c r="E98" s="11" t="s">
        <v>39</v>
      </c>
      <c r="F98" s="10" t="s">
        <v>833</v>
      </c>
      <c r="G98" s="10" t="s">
        <v>834</v>
      </c>
      <c r="H98" s="12" t="s">
        <v>835</v>
      </c>
    </row>
    <row r="99" customFormat="false" ht="15" hidden="false" customHeight="false" outlineLevel="0" collapsed="false">
      <c r="A99" s="6" t="s">
        <v>135</v>
      </c>
      <c r="B99" s="6" t="s">
        <v>836</v>
      </c>
      <c r="C99" s="7" t="s">
        <v>474</v>
      </c>
      <c r="D99" s="6" t="s">
        <v>468</v>
      </c>
      <c r="E99" s="7" t="s">
        <v>43</v>
      </c>
      <c r="F99" s="6" t="s">
        <v>837</v>
      </c>
      <c r="G99" s="6" t="s">
        <v>43</v>
      </c>
      <c r="H99" s="9" t="s">
        <v>838</v>
      </c>
    </row>
    <row r="100" customFormat="false" ht="15" hidden="false" customHeight="false" outlineLevel="0" collapsed="false">
      <c r="A100" s="6" t="s">
        <v>135</v>
      </c>
      <c r="B100" s="6" t="s">
        <v>839</v>
      </c>
      <c r="C100" s="7" t="s">
        <v>480</v>
      </c>
      <c r="D100" s="6" t="s">
        <v>468</v>
      </c>
      <c r="E100" s="7" t="s">
        <v>43</v>
      </c>
      <c r="F100" s="6" t="s">
        <v>840</v>
      </c>
      <c r="G100" s="6" t="s">
        <v>43</v>
      </c>
      <c r="H100" s="9" t="s">
        <v>841</v>
      </c>
    </row>
    <row r="101" customFormat="false" ht="15" hidden="false" customHeight="false" outlineLevel="0" collapsed="false">
      <c r="A101" s="6" t="s">
        <v>135</v>
      </c>
      <c r="B101" s="6" t="s">
        <v>842</v>
      </c>
      <c r="C101" s="7" t="s">
        <v>485</v>
      </c>
      <c r="D101" s="6" t="s">
        <v>577</v>
      </c>
      <c r="E101" s="7" t="s">
        <v>43</v>
      </c>
      <c r="F101" s="6" t="s">
        <v>843</v>
      </c>
      <c r="G101" s="6" t="s">
        <v>43</v>
      </c>
      <c r="H101" s="9" t="s">
        <v>844</v>
      </c>
    </row>
    <row r="102" customFormat="false" ht="23.85" hidden="false" customHeight="false" outlineLevel="0" collapsed="false">
      <c r="A102" s="10" t="s">
        <v>138</v>
      </c>
      <c r="B102" s="10" t="s">
        <v>845</v>
      </c>
      <c r="C102" s="11" t="s">
        <v>846</v>
      </c>
      <c r="D102" s="10" t="s">
        <v>468</v>
      </c>
      <c r="E102" s="11" t="s">
        <v>39</v>
      </c>
      <c r="F102" s="10" t="s">
        <v>847</v>
      </c>
      <c r="G102" s="10" t="s">
        <v>848</v>
      </c>
      <c r="H102" s="12" t="s">
        <v>849</v>
      </c>
    </row>
    <row r="103" customFormat="false" ht="15" hidden="false" customHeight="false" outlineLevel="0" collapsed="false">
      <c r="A103" s="6" t="s">
        <v>138</v>
      </c>
      <c r="B103" s="6" t="s">
        <v>850</v>
      </c>
      <c r="C103" s="7" t="s">
        <v>851</v>
      </c>
      <c r="D103" s="6" t="s">
        <v>468</v>
      </c>
      <c r="E103" s="7" t="s">
        <v>39</v>
      </c>
      <c r="F103" s="6" t="s">
        <v>852</v>
      </c>
      <c r="G103" s="6" t="s">
        <v>853</v>
      </c>
      <c r="H103" s="9" t="s">
        <v>854</v>
      </c>
    </row>
    <row r="104" customFormat="false" ht="15" hidden="false" customHeight="false" outlineLevel="0" collapsed="false">
      <c r="A104" s="6" t="s">
        <v>138</v>
      </c>
      <c r="B104" s="6" t="s">
        <v>855</v>
      </c>
      <c r="C104" s="7" t="s">
        <v>856</v>
      </c>
      <c r="D104" s="6" t="s">
        <v>468</v>
      </c>
      <c r="E104" s="7" t="s">
        <v>39</v>
      </c>
      <c r="F104" s="6" t="s">
        <v>857</v>
      </c>
      <c r="G104" s="6" t="s">
        <v>43</v>
      </c>
      <c r="H104" s="9" t="s">
        <v>858</v>
      </c>
    </row>
    <row r="105" customFormat="false" ht="15" hidden="false" customHeight="false" outlineLevel="0" collapsed="false">
      <c r="A105" s="6" t="s">
        <v>138</v>
      </c>
      <c r="B105" s="6" t="s">
        <v>859</v>
      </c>
      <c r="C105" s="7" t="s">
        <v>860</v>
      </c>
      <c r="D105" s="6" t="s">
        <v>468</v>
      </c>
      <c r="E105" s="7" t="s">
        <v>39</v>
      </c>
      <c r="F105" s="6" t="s">
        <v>861</v>
      </c>
      <c r="G105" s="6" t="s">
        <v>43</v>
      </c>
      <c r="H105" s="9" t="s">
        <v>862</v>
      </c>
    </row>
    <row r="106" customFormat="false" ht="15" hidden="false" customHeight="false" outlineLevel="0" collapsed="false">
      <c r="A106" s="6" t="s">
        <v>138</v>
      </c>
      <c r="B106" s="6" t="s">
        <v>863</v>
      </c>
      <c r="C106" s="7" t="s">
        <v>864</v>
      </c>
      <c r="D106" s="6" t="s">
        <v>468</v>
      </c>
      <c r="E106" s="7" t="s">
        <v>39</v>
      </c>
      <c r="F106" s="6" t="s">
        <v>865</v>
      </c>
      <c r="G106" s="6" t="s">
        <v>866</v>
      </c>
      <c r="H106" s="9" t="s">
        <v>867</v>
      </c>
    </row>
    <row r="107" customFormat="false" ht="15" hidden="false" customHeight="false" outlineLevel="0" collapsed="false">
      <c r="A107" s="10" t="s">
        <v>142</v>
      </c>
      <c r="B107" s="10" t="s">
        <v>868</v>
      </c>
      <c r="C107" s="11" t="s">
        <v>467</v>
      </c>
      <c r="D107" s="10" t="s">
        <v>577</v>
      </c>
      <c r="E107" s="11" t="s">
        <v>869</v>
      </c>
      <c r="F107" s="10" t="s">
        <v>870</v>
      </c>
      <c r="G107" s="10" t="s">
        <v>43</v>
      </c>
      <c r="H107" s="12" t="s">
        <v>871</v>
      </c>
    </row>
    <row r="108" customFormat="false" ht="15" hidden="false" customHeight="false" outlineLevel="0" collapsed="false">
      <c r="A108" s="6" t="s">
        <v>142</v>
      </c>
      <c r="B108" s="6" t="s">
        <v>872</v>
      </c>
      <c r="C108" s="7" t="s">
        <v>474</v>
      </c>
      <c r="D108" s="6" t="s">
        <v>468</v>
      </c>
      <c r="E108" s="7" t="s">
        <v>39</v>
      </c>
      <c r="F108" s="6" t="s">
        <v>873</v>
      </c>
      <c r="G108" s="6" t="s">
        <v>874</v>
      </c>
      <c r="H108" s="9" t="s">
        <v>875</v>
      </c>
    </row>
    <row r="109" customFormat="false" ht="15" hidden="false" customHeight="false" outlineLevel="0" collapsed="false">
      <c r="A109" s="6" t="s">
        <v>142</v>
      </c>
      <c r="B109" s="6" t="s">
        <v>876</v>
      </c>
      <c r="C109" s="7" t="s">
        <v>480</v>
      </c>
      <c r="D109" s="6" t="s">
        <v>468</v>
      </c>
      <c r="E109" s="7" t="s">
        <v>39</v>
      </c>
      <c r="F109" s="6" t="s">
        <v>877</v>
      </c>
      <c r="G109" s="6" t="s">
        <v>43</v>
      </c>
      <c r="H109" s="9" t="s">
        <v>878</v>
      </c>
    </row>
    <row r="110" customFormat="false" ht="15" hidden="false" customHeight="false" outlineLevel="0" collapsed="false">
      <c r="A110" s="6" t="s">
        <v>142</v>
      </c>
      <c r="B110" s="6" t="s">
        <v>879</v>
      </c>
      <c r="C110" s="7" t="s">
        <v>485</v>
      </c>
      <c r="D110" s="6" t="s">
        <v>468</v>
      </c>
      <c r="E110" s="7" t="s">
        <v>880</v>
      </c>
      <c r="F110" s="6" t="s">
        <v>881</v>
      </c>
      <c r="G110" s="6" t="s">
        <v>882</v>
      </c>
      <c r="H110" s="9" t="s">
        <v>883</v>
      </c>
    </row>
    <row r="111" customFormat="false" ht="15" hidden="false" customHeight="false" outlineLevel="0" collapsed="false">
      <c r="A111" s="6" t="s">
        <v>142</v>
      </c>
      <c r="B111" s="6" t="s">
        <v>884</v>
      </c>
      <c r="C111" s="7" t="s">
        <v>489</v>
      </c>
      <c r="D111" s="6" t="s">
        <v>468</v>
      </c>
      <c r="E111" s="7" t="s">
        <v>39</v>
      </c>
      <c r="F111" s="6" t="s">
        <v>885</v>
      </c>
      <c r="G111" s="6" t="s">
        <v>886</v>
      </c>
      <c r="H111" s="9" t="s">
        <v>887</v>
      </c>
    </row>
    <row r="112" customFormat="false" ht="15" hidden="false" customHeight="false" outlineLevel="0" collapsed="false">
      <c r="A112" s="6" t="s">
        <v>142</v>
      </c>
      <c r="B112" s="6" t="s">
        <v>776</v>
      </c>
      <c r="C112" s="7" t="s">
        <v>494</v>
      </c>
      <c r="D112" s="6" t="s">
        <v>468</v>
      </c>
      <c r="E112" s="7" t="s">
        <v>888</v>
      </c>
      <c r="F112" s="6" t="s">
        <v>889</v>
      </c>
      <c r="G112" s="6" t="s">
        <v>890</v>
      </c>
      <c r="H112" s="9" t="s">
        <v>891</v>
      </c>
    </row>
    <row r="113" customFormat="false" ht="15" hidden="false" customHeight="false" outlineLevel="0" collapsed="false">
      <c r="A113" s="6" t="s">
        <v>142</v>
      </c>
      <c r="B113" s="6" t="s">
        <v>892</v>
      </c>
      <c r="C113" s="7" t="s">
        <v>507</v>
      </c>
      <c r="D113" s="6" t="s">
        <v>468</v>
      </c>
      <c r="E113" s="7" t="s">
        <v>39</v>
      </c>
      <c r="F113" s="6" t="s">
        <v>893</v>
      </c>
      <c r="G113" s="6" t="s">
        <v>894</v>
      </c>
      <c r="H113" s="9" t="s">
        <v>895</v>
      </c>
    </row>
    <row r="114" customFormat="false" ht="15" hidden="false" customHeight="false" outlineLevel="0" collapsed="false">
      <c r="A114" s="6" t="s">
        <v>142</v>
      </c>
      <c r="B114" s="6" t="s">
        <v>896</v>
      </c>
      <c r="C114" s="7" t="s">
        <v>647</v>
      </c>
      <c r="D114" s="6" t="s">
        <v>468</v>
      </c>
      <c r="E114" s="7" t="s">
        <v>39</v>
      </c>
      <c r="F114" s="6" t="s">
        <v>897</v>
      </c>
      <c r="G114" s="6" t="s">
        <v>898</v>
      </c>
      <c r="H114" s="9" t="s">
        <v>899</v>
      </c>
    </row>
    <row r="115" customFormat="false" ht="15" hidden="false" customHeight="false" outlineLevel="0" collapsed="false">
      <c r="A115" s="6" t="s">
        <v>142</v>
      </c>
      <c r="B115" s="6" t="s">
        <v>900</v>
      </c>
      <c r="C115" s="7" t="s">
        <v>651</v>
      </c>
      <c r="D115" s="6" t="s">
        <v>468</v>
      </c>
      <c r="E115" s="7" t="s">
        <v>39</v>
      </c>
      <c r="F115" s="6" t="s">
        <v>901</v>
      </c>
      <c r="G115" s="6" t="s">
        <v>902</v>
      </c>
      <c r="H115" s="9" t="s">
        <v>903</v>
      </c>
    </row>
    <row r="116" customFormat="false" ht="15" hidden="false" customHeight="false" outlineLevel="0" collapsed="false">
      <c r="A116" s="6" t="s">
        <v>142</v>
      </c>
      <c r="B116" s="6" t="s">
        <v>904</v>
      </c>
      <c r="C116" s="7" t="s">
        <v>518</v>
      </c>
      <c r="D116" s="6" t="s">
        <v>468</v>
      </c>
      <c r="E116" s="7" t="s">
        <v>43</v>
      </c>
      <c r="F116" s="6" t="s">
        <v>905</v>
      </c>
      <c r="G116" s="6" t="s">
        <v>43</v>
      </c>
      <c r="H116" s="9" t="s">
        <v>906</v>
      </c>
    </row>
    <row r="117" customFormat="false" ht="15" hidden="false" customHeight="false" outlineLevel="0" collapsed="false">
      <c r="A117" s="6" t="s">
        <v>142</v>
      </c>
      <c r="B117" s="6" t="s">
        <v>907</v>
      </c>
      <c r="C117" s="7" t="s">
        <v>523</v>
      </c>
      <c r="D117" s="6" t="s">
        <v>468</v>
      </c>
      <c r="E117" s="7" t="s">
        <v>43</v>
      </c>
      <c r="F117" s="6" t="s">
        <v>908</v>
      </c>
      <c r="G117" s="6" t="s">
        <v>43</v>
      </c>
      <c r="H117" s="9" t="s">
        <v>909</v>
      </c>
    </row>
    <row r="118" customFormat="false" ht="15" hidden="false" customHeight="false" outlineLevel="0" collapsed="false">
      <c r="A118" s="6" t="s">
        <v>142</v>
      </c>
      <c r="B118" s="6" t="s">
        <v>910</v>
      </c>
      <c r="C118" s="7" t="s">
        <v>911</v>
      </c>
      <c r="D118" s="6" t="s">
        <v>468</v>
      </c>
      <c r="E118" s="7" t="s">
        <v>39</v>
      </c>
      <c r="F118" s="6" t="s">
        <v>912</v>
      </c>
      <c r="G118" s="6" t="s">
        <v>913</v>
      </c>
      <c r="H118" s="9" t="s">
        <v>914</v>
      </c>
    </row>
  </sheetData>
  <autoFilter ref="A4:H1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13" min="4" style="0" width="13"/>
  </cols>
  <sheetData>
    <row r="1" customFormat="false" ht="17.35" hidden="false" customHeight="false" outlineLevel="0" collapsed="false">
      <c r="A1" s="1" t="s">
        <v>915</v>
      </c>
    </row>
    <row r="2" customFormat="false" ht="15" hidden="false" customHeight="false" outlineLevel="0" collapsed="false">
      <c r="A2" s="2" t="s">
        <v>916</v>
      </c>
    </row>
    <row r="4" customFormat="false" ht="15" hidden="false" customHeight="false" outlineLevel="0" collapsed="false">
      <c r="A4" s="13" t="s">
        <v>917</v>
      </c>
      <c r="B4" s="13" t="s">
        <v>918</v>
      </c>
      <c r="C4" s="13" t="s">
        <v>919</v>
      </c>
      <c r="D4" s="13" t="s">
        <v>557</v>
      </c>
      <c r="E4" s="13" t="s">
        <v>562</v>
      </c>
      <c r="F4" s="13" t="s">
        <v>566</v>
      </c>
      <c r="G4" s="13" t="s">
        <v>571</v>
      </c>
      <c r="H4" s="13" t="s">
        <v>576</v>
      </c>
      <c r="I4" s="13" t="s">
        <v>582</v>
      </c>
      <c r="J4" s="13" t="s">
        <v>586</v>
      </c>
      <c r="K4" s="13" t="s">
        <v>591</v>
      </c>
      <c r="L4" s="13" t="s">
        <v>596</v>
      </c>
      <c r="M4" s="13" t="s">
        <v>600</v>
      </c>
    </row>
    <row r="5" customFormat="false" ht="15" hidden="false" customHeight="false" outlineLevel="0" collapsed="false">
      <c r="A5" s="14" t="s">
        <v>260</v>
      </c>
      <c r="B5" s="15" t="str">
        <f aca="false">INDEX(Peripheral!$C$5:$C$72,MATCH(A5,Peripheral!$B$5:$B$72,0))</f>
        <v>0x40020000</v>
      </c>
      <c r="C5" s="16" t="str">
        <f aca="false">"AHB1ENR bit "&amp;LEFT(INDEX(Peripheral!$H$5:$H$72,MATCH(A5,Peripheral!$B$5:$B$72,0)),1)</f>
        <v>AHB1ENR bit 0</v>
      </c>
      <c r="D5" s="15" t="str">
        <f aca="false">"0x"&amp;DEC2HEX(HEX2DEC(SUBSTITUTE($B5,"0x",""))+HEX2DEC(SUBSTITUTE(INDEX(Register!$C$5:$C$118,MATCH("GPIO|"&amp;D$4,Register!$H$5:$H$118,0)),"0x","")),8)</f>
        <v>0x40020000</v>
      </c>
      <c r="E5" s="15" t="str">
        <f aca="false">"0x"&amp;DEC2HEX(HEX2DEC(SUBSTITUTE($B5,"0x",""))+HEX2DEC(SUBSTITUTE(INDEX(Register!$C$5:$C$118,MATCH("GPIO|"&amp;E$4,Register!$H$5:$H$118,0)),"0x","")),8)</f>
        <v>0x40020004</v>
      </c>
      <c r="F5" s="15" t="str">
        <f aca="false">"0x"&amp;DEC2HEX(HEX2DEC(SUBSTITUTE($B5,"0x",""))+HEX2DEC(SUBSTITUTE(INDEX(Register!$C$5:$C$118,MATCH("GPIO|"&amp;F$4,Register!$H$5:$H$118,0)),"0x","")),8)</f>
        <v>0x40020008</v>
      </c>
      <c r="G5" s="15" t="str">
        <f aca="false">"0x"&amp;DEC2HEX(HEX2DEC(SUBSTITUTE($B5,"0x",""))+HEX2DEC(SUBSTITUTE(INDEX(Register!$C$5:$C$118,MATCH("GPIO|"&amp;G$4,Register!$H$5:$H$118,0)),"0x","")),8)</f>
        <v>0x4002000C</v>
      </c>
      <c r="H5" s="15" t="str">
        <f aca="false">"0x"&amp;DEC2HEX(HEX2DEC(SUBSTITUTE($B5,"0x",""))+HEX2DEC(SUBSTITUTE(INDEX(Register!$C$5:$C$118,MATCH("GPIO|"&amp;H$4,Register!$H$5:$H$118,0)),"0x","")),8)</f>
        <v>0x40020010</v>
      </c>
      <c r="I5" s="15" t="str">
        <f aca="false">"0x"&amp;DEC2HEX(HEX2DEC(SUBSTITUTE($B5,"0x",""))+HEX2DEC(SUBSTITUTE(INDEX(Register!$C$5:$C$118,MATCH("GPIO|"&amp;I$4,Register!$H$5:$H$118,0)),"0x","")),8)</f>
        <v>0x40020014</v>
      </c>
      <c r="J5" s="15" t="str">
        <f aca="false">"0x"&amp;DEC2HEX(HEX2DEC(SUBSTITUTE($B5,"0x",""))+HEX2DEC(SUBSTITUTE(INDEX(Register!$C$5:$C$118,MATCH("GPIO|"&amp;J$4,Register!$H$5:$H$118,0)),"0x","")),8)</f>
        <v>0x40020018</v>
      </c>
      <c r="K5" s="15" t="str">
        <f aca="false">"0x"&amp;DEC2HEX(HEX2DEC(SUBSTITUTE($B5,"0x",""))+HEX2DEC(SUBSTITUTE(INDEX(Register!$C$5:$C$118,MATCH("GPIO|"&amp;K$4,Register!$H$5:$H$118,0)),"0x","")),8)</f>
        <v>0x4002001C</v>
      </c>
      <c r="L5" s="15" t="str">
        <f aca="false">"0x"&amp;DEC2HEX(HEX2DEC(SUBSTITUTE($B5,"0x",""))+HEX2DEC(SUBSTITUTE(INDEX(Register!$C$5:$C$118,MATCH("GPIO|"&amp;L$4,Register!$H$5:$H$118,0)),"0x","")),8)</f>
        <v>0x40020020</v>
      </c>
      <c r="M5" s="15" t="str">
        <f aca="false">"0x"&amp;DEC2HEX(HEX2DEC(SUBSTITUTE($B5,"0x",""))+HEX2DEC(SUBSTITUTE(INDEX(Register!$C$5:$C$118,MATCH("GPIO|"&amp;M$4,Register!$H$5:$H$118,0)),"0x","")),8)</f>
        <v>0x40020024</v>
      </c>
    </row>
    <row r="6" customFormat="false" ht="15" hidden="false" customHeight="false" outlineLevel="0" collapsed="false">
      <c r="A6" s="14" t="s">
        <v>255</v>
      </c>
      <c r="B6" s="15" t="str">
        <f aca="false">INDEX(Peripheral!$C$5:$C$72,MATCH(A6,Peripheral!$B$5:$B$72,0))</f>
        <v>0x40020400</v>
      </c>
      <c r="C6" s="16" t="str">
        <f aca="false">"AHB1ENR bit "&amp;LEFT(INDEX(Peripheral!$H$5:$H$72,MATCH(A6,Peripheral!$B$5:$B$72,0)),1)</f>
        <v>AHB1ENR bit 1</v>
      </c>
      <c r="D6" s="15" t="str">
        <f aca="false">"0x"&amp;DEC2HEX(HEX2DEC(SUBSTITUTE($B6,"0x",""))+HEX2DEC(SUBSTITUTE(INDEX(Register!$C$5:$C$118,MATCH("GPIO|"&amp;D$4,Register!$H$5:$H$118,0)),"0x","")),8)</f>
        <v>0x40020400</v>
      </c>
      <c r="E6" s="15" t="str">
        <f aca="false">"0x"&amp;DEC2HEX(HEX2DEC(SUBSTITUTE($B6,"0x",""))+HEX2DEC(SUBSTITUTE(INDEX(Register!$C$5:$C$118,MATCH("GPIO|"&amp;E$4,Register!$H$5:$H$118,0)),"0x","")),8)</f>
        <v>0x40020404</v>
      </c>
      <c r="F6" s="15" t="str">
        <f aca="false">"0x"&amp;DEC2HEX(HEX2DEC(SUBSTITUTE($B6,"0x",""))+HEX2DEC(SUBSTITUTE(INDEX(Register!$C$5:$C$118,MATCH("GPIO|"&amp;F$4,Register!$H$5:$H$118,0)),"0x","")),8)</f>
        <v>0x40020408</v>
      </c>
      <c r="G6" s="15" t="str">
        <f aca="false">"0x"&amp;DEC2HEX(HEX2DEC(SUBSTITUTE($B6,"0x",""))+HEX2DEC(SUBSTITUTE(INDEX(Register!$C$5:$C$118,MATCH("GPIO|"&amp;G$4,Register!$H$5:$H$118,0)),"0x","")),8)</f>
        <v>0x4002040C</v>
      </c>
      <c r="H6" s="15" t="str">
        <f aca="false">"0x"&amp;DEC2HEX(HEX2DEC(SUBSTITUTE($B6,"0x",""))+HEX2DEC(SUBSTITUTE(INDEX(Register!$C$5:$C$118,MATCH("GPIO|"&amp;H$4,Register!$H$5:$H$118,0)),"0x","")),8)</f>
        <v>0x40020410</v>
      </c>
      <c r="I6" s="15" t="str">
        <f aca="false">"0x"&amp;DEC2HEX(HEX2DEC(SUBSTITUTE($B6,"0x",""))+HEX2DEC(SUBSTITUTE(INDEX(Register!$C$5:$C$118,MATCH("GPIO|"&amp;I$4,Register!$H$5:$H$118,0)),"0x","")),8)</f>
        <v>0x40020414</v>
      </c>
      <c r="J6" s="15" t="str">
        <f aca="false">"0x"&amp;DEC2HEX(HEX2DEC(SUBSTITUTE($B6,"0x",""))+HEX2DEC(SUBSTITUTE(INDEX(Register!$C$5:$C$118,MATCH("GPIO|"&amp;J$4,Register!$H$5:$H$118,0)),"0x","")),8)</f>
        <v>0x40020418</v>
      </c>
      <c r="K6" s="15" t="str">
        <f aca="false">"0x"&amp;DEC2HEX(HEX2DEC(SUBSTITUTE($B6,"0x",""))+HEX2DEC(SUBSTITUTE(INDEX(Register!$C$5:$C$118,MATCH("GPIO|"&amp;K$4,Register!$H$5:$H$118,0)),"0x","")),8)</f>
        <v>0x4002041C</v>
      </c>
      <c r="L6" s="15" t="str">
        <f aca="false">"0x"&amp;DEC2HEX(HEX2DEC(SUBSTITUTE($B6,"0x",""))+HEX2DEC(SUBSTITUTE(INDEX(Register!$C$5:$C$118,MATCH("GPIO|"&amp;L$4,Register!$H$5:$H$118,0)),"0x","")),8)</f>
        <v>0x40020420</v>
      </c>
      <c r="M6" s="15" t="str">
        <f aca="false">"0x"&amp;DEC2HEX(HEX2DEC(SUBSTITUTE($B6,"0x",""))+HEX2DEC(SUBSTITUTE(INDEX(Register!$C$5:$C$118,MATCH("GPIO|"&amp;M$4,Register!$H$5:$H$118,0)),"0x","")),8)</f>
        <v>0x40020424</v>
      </c>
    </row>
    <row r="7" customFormat="false" ht="15" hidden="false" customHeight="false" outlineLevel="0" collapsed="false">
      <c r="A7" s="14" t="s">
        <v>250</v>
      </c>
      <c r="B7" s="15" t="str">
        <f aca="false">INDEX(Peripheral!$C$5:$C$72,MATCH(A7,Peripheral!$B$5:$B$72,0))</f>
        <v>0x40020800</v>
      </c>
      <c r="C7" s="16" t="str">
        <f aca="false">"AHB1ENR bit "&amp;LEFT(INDEX(Peripheral!$H$5:$H$72,MATCH(A7,Peripheral!$B$5:$B$72,0)),1)</f>
        <v>AHB1ENR bit 2</v>
      </c>
      <c r="D7" s="15" t="str">
        <f aca="false">"0x"&amp;DEC2HEX(HEX2DEC(SUBSTITUTE($B7,"0x",""))+HEX2DEC(SUBSTITUTE(INDEX(Register!$C$5:$C$118,MATCH("GPIO|"&amp;D$4,Register!$H$5:$H$118,0)),"0x","")),8)</f>
        <v>0x40020800</v>
      </c>
      <c r="E7" s="15" t="str">
        <f aca="false">"0x"&amp;DEC2HEX(HEX2DEC(SUBSTITUTE($B7,"0x",""))+HEX2DEC(SUBSTITUTE(INDEX(Register!$C$5:$C$118,MATCH("GPIO|"&amp;E$4,Register!$H$5:$H$118,0)),"0x","")),8)</f>
        <v>0x40020804</v>
      </c>
      <c r="F7" s="15" t="str">
        <f aca="false">"0x"&amp;DEC2HEX(HEX2DEC(SUBSTITUTE($B7,"0x",""))+HEX2DEC(SUBSTITUTE(INDEX(Register!$C$5:$C$118,MATCH("GPIO|"&amp;F$4,Register!$H$5:$H$118,0)),"0x","")),8)</f>
        <v>0x40020808</v>
      </c>
      <c r="G7" s="15" t="str">
        <f aca="false">"0x"&amp;DEC2HEX(HEX2DEC(SUBSTITUTE($B7,"0x",""))+HEX2DEC(SUBSTITUTE(INDEX(Register!$C$5:$C$118,MATCH("GPIO|"&amp;G$4,Register!$H$5:$H$118,0)),"0x","")),8)</f>
        <v>0x4002080C</v>
      </c>
      <c r="H7" s="15" t="str">
        <f aca="false">"0x"&amp;DEC2HEX(HEX2DEC(SUBSTITUTE($B7,"0x",""))+HEX2DEC(SUBSTITUTE(INDEX(Register!$C$5:$C$118,MATCH("GPIO|"&amp;H$4,Register!$H$5:$H$118,0)),"0x","")),8)</f>
        <v>0x40020810</v>
      </c>
      <c r="I7" s="15" t="str">
        <f aca="false">"0x"&amp;DEC2HEX(HEX2DEC(SUBSTITUTE($B7,"0x",""))+HEX2DEC(SUBSTITUTE(INDEX(Register!$C$5:$C$118,MATCH("GPIO|"&amp;I$4,Register!$H$5:$H$118,0)),"0x","")),8)</f>
        <v>0x40020814</v>
      </c>
      <c r="J7" s="15" t="str">
        <f aca="false">"0x"&amp;DEC2HEX(HEX2DEC(SUBSTITUTE($B7,"0x",""))+HEX2DEC(SUBSTITUTE(INDEX(Register!$C$5:$C$118,MATCH("GPIO|"&amp;J$4,Register!$H$5:$H$118,0)),"0x","")),8)</f>
        <v>0x40020818</v>
      </c>
      <c r="K7" s="15" t="str">
        <f aca="false">"0x"&amp;DEC2HEX(HEX2DEC(SUBSTITUTE($B7,"0x",""))+HEX2DEC(SUBSTITUTE(INDEX(Register!$C$5:$C$118,MATCH("GPIO|"&amp;K$4,Register!$H$5:$H$118,0)),"0x","")),8)</f>
        <v>0x4002081C</v>
      </c>
      <c r="L7" s="15" t="str">
        <f aca="false">"0x"&amp;DEC2HEX(HEX2DEC(SUBSTITUTE($B7,"0x",""))+HEX2DEC(SUBSTITUTE(INDEX(Register!$C$5:$C$118,MATCH("GPIO|"&amp;L$4,Register!$H$5:$H$118,0)),"0x","")),8)</f>
        <v>0x40020820</v>
      </c>
      <c r="M7" s="15" t="str">
        <f aca="false">"0x"&amp;DEC2HEX(HEX2DEC(SUBSTITUTE($B7,"0x",""))+HEX2DEC(SUBSTITUTE(INDEX(Register!$C$5:$C$118,MATCH("GPIO|"&amp;M$4,Register!$H$5:$H$118,0)),"0x","")),8)</f>
        <v>0x40020824</v>
      </c>
    </row>
    <row r="8" customFormat="false" ht="15" hidden="false" customHeight="false" outlineLevel="0" collapsed="false">
      <c r="A8" s="14" t="s">
        <v>245</v>
      </c>
      <c r="B8" s="15" t="str">
        <f aca="false">INDEX(Peripheral!$C$5:$C$72,MATCH(A8,Peripheral!$B$5:$B$72,0))</f>
        <v>0x40020C00</v>
      </c>
      <c r="C8" s="16" t="str">
        <f aca="false">"AHB1ENR bit "&amp;LEFT(INDEX(Peripheral!$H$5:$H$72,MATCH(A8,Peripheral!$B$5:$B$72,0)),1)</f>
        <v>AHB1ENR bit 3</v>
      </c>
      <c r="D8" s="15" t="str">
        <f aca="false">"0x"&amp;DEC2HEX(HEX2DEC(SUBSTITUTE($B8,"0x",""))+HEX2DEC(SUBSTITUTE(INDEX(Register!$C$5:$C$118,MATCH("GPIO|"&amp;D$4,Register!$H$5:$H$118,0)),"0x","")),8)</f>
        <v>0x40020C00</v>
      </c>
      <c r="E8" s="15" t="str">
        <f aca="false">"0x"&amp;DEC2HEX(HEX2DEC(SUBSTITUTE($B8,"0x",""))+HEX2DEC(SUBSTITUTE(INDEX(Register!$C$5:$C$118,MATCH("GPIO|"&amp;E$4,Register!$H$5:$H$118,0)),"0x","")),8)</f>
        <v>0x40020C04</v>
      </c>
      <c r="F8" s="15" t="str">
        <f aca="false">"0x"&amp;DEC2HEX(HEX2DEC(SUBSTITUTE($B8,"0x",""))+HEX2DEC(SUBSTITUTE(INDEX(Register!$C$5:$C$118,MATCH("GPIO|"&amp;F$4,Register!$H$5:$H$118,0)),"0x","")),8)</f>
        <v>0x40020C08</v>
      </c>
      <c r="G8" s="15" t="str">
        <f aca="false">"0x"&amp;DEC2HEX(HEX2DEC(SUBSTITUTE($B8,"0x",""))+HEX2DEC(SUBSTITUTE(INDEX(Register!$C$5:$C$118,MATCH("GPIO|"&amp;G$4,Register!$H$5:$H$118,0)),"0x","")),8)</f>
        <v>0x40020C0C</v>
      </c>
      <c r="H8" s="15" t="str">
        <f aca="false">"0x"&amp;DEC2HEX(HEX2DEC(SUBSTITUTE($B8,"0x",""))+HEX2DEC(SUBSTITUTE(INDEX(Register!$C$5:$C$118,MATCH("GPIO|"&amp;H$4,Register!$H$5:$H$118,0)),"0x","")),8)</f>
        <v>0x40020C10</v>
      </c>
      <c r="I8" s="15" t="str">
        <f aca="false">"0x"&amp;DEC2HEX(HEX2DEC(SUBSTITUTE($B8,"0x",""))+HEX2DEC(SUBSTITUTE(INDEX(Register!$C$5:$C$118,MATCH("GPIO|"&amp;I$4,Register!$H$5:$H$118,0)),"0x","")),8)</f>
        <v>0x40020C14</v>
      </c>
      <c r="J8" s="15" t="str">
        <f aca="false">"0x"&amp;DEC2HEX(HEX2DEC(SUBSTITUTE($B8,"0x",""))+HEX2DEC(SUBSTITUTE(INDEX(Register!$C$5:$C$118,MATCH("GPIO|"&amp;J$4,Register!$H$5:$H$118,0)),"0x","")),8)</f>
        <v>0x40020C18</v>
      </c>
      <c r="K8" s="15" t="str">
        <f aca="false">"0x"&amp;DEC2HEX(HEX2DEC(SUBSTITUTE($B8,"0x",""))+HEX2DEC(SUBSTITUTE(INDEX(Register!$C$5:$C$118,MATCH("GPIO|"&amp;K$4,Register!$H$5:$H$118,0)),"0x","")),8)</f>
        <v>0x40020C1C</v>
      </c>
      <c r="L8" s="15" t="str">
        <f aca="false">"0x"&amp;DEC2HEX(HEX2DEC(SUBSTITUTE($B8,"0x",""))+HEX2DEC(SUBSTITUTE(INDEX(Register!$C$5:$C$118,MATCH("GPIO|"&amp;L$4,Register!$H$5:$H$118,0)),"0x","")),8)</f>
        <v>0x40020C20</v>
      </c>
      <c r="M8" s="15" t="str">
        <f aca="false">"0x"&amp;DEC2HEX(HEX2DEC(SUBSTITUTE($B8,"0x",""))+HEX2DEC(SUBSTITUTE(INDEX(Register!$C$5:$C$118,MATCH("GPIO|"&amp;M$4,Register!$H$5:$H$118,0)),"0x","")),8)</f>
        <v>0x40020C24</v>
      </c>
    </row>
    <row r="9" customFormat="false" ht="15" hidden="false" customHeight="false" outlineLevel="0" collapsed="false">
      <c r="A9" s="14" t="s">
        <v>240</v>
      </c>
      <c r="B9" s="15" t="str">
        <f aca="false">INDEX(Peripheral!$C$5:$C$72,MATCH(A9,Peripheral!$B$5:$B$72,0))</f>
        <v>0x40021000</v>
      </c>
      <c r="C9" s="16" t="str">
        <f aca="false">"AHB1ENR bit "&amp;LEFT(INDEX(Peripheral!$H$5:$H$72,MATCH(A9,Peripheral!$B$5:$B$72,0)),1)</f>
        <v>AHB1ENR bit 4</v>
      </c>
      <c r="D9" s="15" t="str">
        <f aca="false">"0x"&amp;DEC2HEX(HEX2DEC(SUBSTITUTE($B9,"0x",""))+HEX2DEC(SUBSTITUTE(INDEX(Register!$C$5:$C$118,MATCH("GPIO|"&amp;D$4,Register!$H$5:$H$118,0)),"0x","")),8)</f>
        <v>0x40021000</v>
      </c>
      <c r="E9" s="15" t="str">
        <f aca="false">"0x"&amp;DEC2HEX(HEX2DEC(SUBSTITUTE($B9,"0x",""))+HEX2DEC(SUBSTITUTE(INDEX(Register!$C$5:$C$118,MATCH("GPIO|"&amp;E$4,Register!$H$5:$H$118,0)),"0x","")),8)</f>
        <v>0x40021004</v>
      </c>
      <c r="F9" s="15" t="str">
        <f aca="false">"0x"&amp;DEC2HEX(HEX2DEC(SUBSTITUTE($B9,"0x",""))+HEX2DEC(SUBSTITUTE(INDEX(Register!$C$5:$C$118,MATCH("GPIO|"&amp;F$4,Register!$H$5:$H$118,0)),"0x","")),8)</f>
        <v>0x40021008</v>
      </c>
      <c r="G9" s="15" t="str">
        <f aca="false">"0x"&amp;DEC2HEX(HEX2DEC(SUBSTITUTE($B9,"0x",""))+HEX2DEC(SUBSTITUTE(INDEX(Register!$C$5:$C$118,MATCH("GPIO|"&amp;G$4,Register!$H$5:$H$118,0)),"0x","")),8)</f>
        <v>0x4002100C</v>
      </c>
      <c r="H9" s="15" t="str">
        <f aca="false">"0x"&amp;DEC2HEX(HEX2DEC(SUBSTITUTE($B9,"0x",""))+HEX2DEC(SUBSTITUTE(INDEX(Register!$C$5:$C$118,MATCH("GPIO|"&amp;H$4,Register!$H$5:$H$118,0)),"0x","")),8)</f>
        <v>0x40021010</v>
      </c>
      <c r="I9" s="15" t="str">
        <f aca="false">"0x"&amp;DEC2HEX(HEX2DEC(SUBSTITUTE($B9,"0x",""))+HEX2DEC(SUBSTITUTE(INDEX(Register!$C$5:$C$118,MATCH("GPIO|"&amp;I$4,Register!$H$5:$H$118,0)),"0x","")),8)</f>
        <v>0x40021014</v>
      </c>
      <c r="J9" s="15" t="str">
        <f aca="false">"0x"&amp;DEC2HEX(HEX2DEC(SUBSTITUTE($B9,"0x",""))+HEX2DEC(SUBSTITUTE(INDEX(Register!$C$5:$C$118,MATCH("GPIO|"&amp;J$4,Register!$H$5:$H$118,0)),"0x","")),8)</f>
        <v>0x40021018</v>
      </c>
      <c r="K9" s="15" t="str">
        <f aca="false">"0x"&amp;DEC2HEX(HEX2DEC(SUBSTITUTE($B9,"0x",""))+HEX2DEC(SUBSTITUTE(INDEX(Register!$C$5:$C$118,MATCH("GPIO|"&amp;K$4,Register!$H$5:$H$118,0)),"0x","")),8)</f>
        <v>0x4002101C</v>
      </c>
      <c r="L9" s="15" t="str">
        <f aca="false">"0x"&amp;DEC2HEX(HEX2DEC(SUBSTITUTE($B9,"0x",""))+HEX2DEC(SUBSTITUTE(INDEX(Register!$C$5:$C$118,MATCH("GPIO|"&amp;L$4,Register!$H$5:$H$118,0)),"0x","")),8)</f>
        <v>0x40021020</v>
      </c>
      <c r="M9" s="15" t="str">
        <f aca="false">"0x"&amp;DEC2HEX(HEX2DEC(SUBSTITUTE($B9,"0x",""))+HEX2DEC(SUBSTITUTE(INDEX(Register!$C$5:$C$118,MATCH("GPIO|"&amp;M$4,Register!$H$5:$H$118,0)),"0x","")),8)</f>
        <v>0x40021024</v>
      </c>
    </row>
    <row r="10" customFormat="false" ht="15" hidden="false" customHeight="false" outlineLevel="0" collapsed="false">
      <c r="A10" s="14" t="s">
        <v>235</v>
      </c>
      <c r="B10" s="15" t="str">
        <f aca="false">INDEX(Peripheral!$C$5:$C$72,MATCH(A10,Peripheral!$B$5:$B$72,0))</f>
        <v>0x40021400</v>
      </c>
      <c r="C10" s="16" t="str">
        <f aca="false">"AHB1ENR bit "&amp;LEFT(INDEX(Peripheral!$H$5:$H$72,MATCH(A10,Peripheral!$B$5:$B$72,0)),1)</f>
        <v>AHB1ENR bit 5</v>
      </c>
      <c r="D10" s="15" t="str">
        <f aca="false">"0x"&amp;DEC2HEX(HEX2DEC(SUBSTITUTE($B10,"0x",""))+HEX2DEC(SUBSTITUTE(INDEX(Register!$C$5:$C$118,MATCH("GPIO|"&amp;D$4,Register!$H$5:$H$118,0)),"0x","")),8)</f>
        <v>0x40021400</v>
      </c>
      <c r="E10" s="15" t="str">
        <f aca="false">"0x"&amp;DEC2HEX(HEX2DEC(SUBSTITUTE($B10,"0x",""))+HEX2DEC(SUBSTITUTE(INDEX(Register!$C$5:$C$118,MATCH("GPIO|"&amp;E$4,Register!$H$5:$H$118,0)),"0x","")),8)</f>
        <v>0x40021404</v>
      </c>
      <c r="F10" s="15" t="str">
        <f aca="false">"0x"&amp;DEC2HEX(HEX2DEC(SUBSTITUTE($B10,"0x",""))+HEX2DEC(SUBSTITUTE(INDEX(Register!$C$5:$C$118,MATCH("GPIO|"&amp;F$4,Register!$H$5:$H$118,0)),"0x","")),8)</f>
        <v>0x40021408</v>
      </c>
      <c r="G10" s="15" t="str">
        <f aca="false">"0x"&amp;DEC2HEX(HEX2DEC(SUBSTITUTE($B10,"0x",""))+HEX2DEC(SUBSTITUTE(INDEX(Register!$C$5:$C$118,MATCH("GPIO|"&amp;G$4,Register!$H$5:$H$118,0)),"0x","")),8)</f>
        <v>0x4002140C</v>
      </c>
      <c r="H10" s="15" t="str">
        <f aca="false">"0x"&amp;DEC2HEX(HEX2DEC(SUBSTITUTE($B10,"0x",""))+HEX2DEC(SUBSTITUTE(INDEX(Register!$C$5:$C$118,MATCH("GPIO|"&amp;H$4,Register!$H$5:$H$118,0)),"0x","")),8)</f>
        <v>0x40021410</v>
      </c>
      <c r="I10" s="15" t="str">
        <f aca="false">"0x"&amp;DEC2HEX(HEX2DEC(SUBSTITUTE($B10,"0x",""))+HEX2DEC(SUBSTITUTE(INDEX(Register!$C$5:$C$118,MATCH("GPIO|"&amp;I$4,Register!$H$5:$H$118,0)),"0x","")),8)</f>
        <v>0x40021414</v>
      </c>
      <c r="J10" s="15" t="str">
        <f aca="false">"0x"&amp;DEC2HEX(HEX2DEC(SUBSTITUTE($B10,"0x",""))+HEX2DEC(SUBSTITUTE(INDEX(Register!$C$5:$C$118,MATCH("GPIO|"&amp;J$4,Register!$H$5:$H$118,0)),"0x","")),8)</f>
        <v>0x40021418</v>
      </c>
      <c r="K10" s="15" t="str">
        <f aca="false">"0x"&amp;DEC2HEX(HEX2DEC(SUBSTITUTE($B10,"0x",""))+HEX2DEC(SUBSTITUTE(INDEX(Register!$C$5:$C$118,MATCH("GPIO|"&amp;K$4,Register!$H$5:$H$118,0)),"0x","")),8)</f>
        <v>0x4002141C</v>
      </c>
      <c r="L10" s="15" t="str">
        <f aca="false">"0x"&amp;DEC2HEX(HEX2DEC(SUBSTITUTE($B10,"0x",""))+HEX2DEC(SUBSTITUTE(INDEX(Register!$C$5:$C$118,MATCH("GPIO|"&amp;L$4,Register!$H$5:$H$118,0)),"0x","")),8)</f>
        <v>0x40021420</v>
      </c>
      <c r="M10" s="15" t="str">
        <f aca="false">"0x"&amp;DEC2HEX(HEX2DEC(SUBSTITUTE($B10,"0x",""))+HEX2DEC(SUBSTITUTE(INDEX(Register!$C$5:$C$118,MATCH("GPIO|"&amp;M$4,Register!$H$5:$H$118,0)),"0x","")),8)</f>
        <v>0x40021424</v>
      </c>
    </row>
    <row r="11" customFormat="false" ht="15" hidden="false" customHeight="false" outlineLevel="0" collapsed="false">
      <c r="A11" s="14" t="s">
        <v>230</v>
      </c>
      <c r="B11" s="15" t="str">
        <f aca="false">INDEX(Peripheral!$C$5:$C$72,MATCH(A11,Peripheral!$B$5:$B$72,0))</f>
        <v>0x40021800</v>
      </c>
      <c r="C11" s="16" t="str">
        <f aca="false">"AHB1ENR bit "&amp;LEFT(INDEX(Peripheral!$H$5:$H$72,MATCH(A11,Peripheral!$B$5:$B$72,0)),1)</f>
        <v>AHB1ENR bit 6</v>
      </c>
      <c r="D11" s="15" t="str">
        <f aca="false">"0x"&amp;DEC2HEX(HEX2DEC(SUBSTITUTE($B11,"0x",""))+HEX2DEC(SUBSTITUTE(INDEX(Register!$C$5:$C$118,MATCH("GPIO|"&amp;D$4,Register!$H$5:$H$118,0)),"0x","")),8)</f>
        <v>0x40021800</v>
      </c>
      <c r="E11" s="15" t="str">
        <f aca="false">"0x"&amp;DEC2HEX(HEX2DEC(SUBSTITUTE($B11,"0x",""))+HEX2DEC(SUBSTITUTE(INDEX(Register!$C$5:$C$118,MATCH("GPIO|"&amp;E$4,Register!$H$5:$H$118,0)),"0x","")),8)</f>
        <v>0x40021804</v>
      </c>
      <c r="F11" s="15" t="str">
        <f aca="false">"0x"&amp;DEC2HEX(HEX2DEC(SUBSTITUTE($B11,"0x",""))+HEX2DEC(SUBSTITUTE(INDEX(Register!$C$5:$C$118,MATCH("GPIO|"&amp;F$4,Register!$H$5:$H$118,0)),"0x","")),8)</f>
        <v>0x40021808</v>
      </c>
      <c r="G11" s="15" t="str">
        <f aca="false">"0x"&amp;DEC2HEX(HEX2DEC(SUBSTITUTE($B11,"0x",""))+HEX2DEC(SUBSTITUTE(INDEX(Register!$C$5:$C$118,MATCH("GPIO|"&amp;G$4,Register!$H$5:$H$118,0)),"0x","")),8)</f>
        <v>0x4002180C</v>
      </c>
      <c r="H11" s="15" t="str">
        <f aca="false">"0x"&amp;DEC2HEX(HEX2DEC(SUBSTITUTE($B11,"0x",""))+HEX2DEC(SUBSTITUTE(INDEX(Register!$C$5:$C$118,MATCH("GPIO|"&amp;H$4,Register!$H$5:$H$118,0)),"0x","")),8)</f>
        <v>0x40021810</v>
      </c>
      <c r="I11" s="15" t="str">
        <f aca="false">"0x"&amp;DEC2HEX(HEX2DEC(SUBSTITUTE($B11,"0x",""))+HEX2DEC(SUBSTITUTE(INDEX(Register!$C$5:$C$118,MATCH("GPIO|"&amp;I$4,Register!$H$5:$H$118,0)),"0x","")),8)</f>
        <v>0x40021814</v>
      </c>
      <c r="J11" s="15" t="str">
        <f aca="false">"0x"&amp;DEC2HEX(HEX2DEC(SUBSTITUTE($B11,"0x",""))+HEX2DEC(SUBSTITUTE(INDEX(Register!$C$5:$C$118,MATCH("GPIO|"&amp;J$4,Register!$H$5:$H$118,0)),"0x","")),8)</f>
        <v>0x40021818</v>
      </c>
      <c r="K11" s="15" t="str">
        <f aca="false">"0x"&amp;DEC2HEX(HEX2DEC(SUBSTITUTE($B11,"0x",""))+HEX2DEC(SUBSTITUTE(INDEX(Register!$C$5:$C$118,MATCH("GPIO|"&amp;K$4,Register!$H$5:$H$118,0)),"0x","")),8)</f>
        <v>0x4002181C</v>
      </c>
      <c r="L11" s="15" t="str">
        <f aca="false">"0x"&amp;DEC2HEX(HEX2DEC(SUBSTITUTE($B11,"0x",""))+HEX2DEC(SUBSTITUTE(INDEX(Register!$C$5:$C$118,MATCH("GPIO|"&amp;L$4,Register!$H$5:$H$118,0)),"0x","")),8)</f>
        <v>0x40021820</v>
      </c>
      <c r="M11" s="15" t="str">
        <f aca="false">"0x"&amp;DEC2HEX(HEX2DEC(SUBSTITUTE($B11,"0x",""))+HEX2DEC(SUBSTITUTE(INDEX(Register!$C$5:$C$118,MATCH("GPIO|"&amp;M$4,Register!$H$5:$H$118,0)),"0x","")),8)</f>
        <v>0x40021824</v>
      </c>
    </row>
    <row r="12" customFormat="false" ht="15" hidden="false" customHeight="false" outlineLevel="0" collapsed="false">
      <c r="A12" s="14" t="s">
        <v>225</v>
      </c>
      <c r="B12" s="15" t="str">
        <f aca="false">INDEX(Peripheral!$C$5:$C$72,MATCH(A12,Peripheral!$B$5:$B$72,0))</f>
        <v>0x40021C00</v>
      </c>
      <c r="C12" s="16" t="str">
        <f aca="false">"AHB1ENR bit "&amp;LEFT(INDEX(Peripheral!$H$5:$H$72,MATCH(A12,Peripheral!$B$5:$B$72,0)),1)</f>
        <v>AHB1ENR bit 7</v>
      </c>
      <c r="D12" s="15" t="str">
        <f aca="false">"0x"&amp;DEC2HEX(HEX2DEC(SUBSTITUTE($B12,"0x",""))+HEX2DEC(SUBSTITUTE(INDEX(Register!$C$5:$C$118,MATCH("GPIO|"&amp;D$4,Register!$H$5:$H$118,0)),"0x","")),8)</f>
        <v>0x40021C00</v>
      </c>
      <c r="E12" s="15" t="str">
        <f aca="false">"0x"&amp;DEC2HEX(HEX2DEC(SUBSTITUTE($B12,"0x",""))+HEX2DEC(SUBSTITUTE(INDEX(Register!$C$5:$C$118,MATCH("GPIO|"&amp;E$4,Register!$H$5:$H$118,0)),"0x","")),8)</f>
        <v>0x40021C04</v>
      </c>
      <c r="F12" s="15" t="str">
        <f aca="false">"0x"&amp;DEC2HEX(HEX2DEC(SUBSTITUTE($B12,"0x",""))+HEX2DEC(SUBSTITUTE(INDEX(Register!$C$5:$C$118,MATCH("GPIO|"&amp;F$4,Register!$H$5:$H$118,0)),"0x","")),8)</f>
        <v>0x40021C08</v>
      </c>
      <c r="G12" s="15" t="str">
        <f aca="false">"0x"&amp;DEC2HEX(HEX2DEC(SUBSTITUTE($B12,"0x",""))+HEX2DEC(SUBSTITUTE(INDEX(Register!$C$5:$C$118,MATCH("GPIO|"&amp;G$4,Register!$H$5:$H$118,0)),"0x","")),8)</f>
        <v>0x40021C0C</v>
      </c>
      <c r="H12" s="15" t="str">
        <f aca="false">"0x"&amp;DEC2HEX(HEX2DEC(SUBSTITUTE($B12,"0x",""))+HEX2DEC(SUBSTITUTE(INDEX(Register!$C$5:$C$118,MATCH("GPIO|"&amp;H$4,Register!$H$5:$H$118,0)),"0x","")),8)</f>
        <v>0x40021C10</v>
      </c>
      <c r="I12" s="15" t="str">
        <f aca="false">"0x"&amp;DEC2HEX(HEX2DEC(SUBSTITUTE($B12,"0x",""))+HEX2DEC(SUBSTITUTE(INDEX(Register!$C$5:$C$118,MATCH("GPIO|"&amp;I$4,Register!$H$5:$H$118,0)),"0x","")),8)</f>
        <v>0x40021C14</v>
      </c>
      <c r="J12" s="15" t="str">
        <f aca="false">"0x"&amp;DEC2HEX(HEX2DEC(SUBSTITUTE($B12,"0x",""))+HEX2DEC(SUBSTITUTE(INDEX(Register!$C$5:$C$118,MATCH("GPIO|"&amp;J$4,Register!$H$5:$H$118,0)),"0x","")),8)</f>
        <v>0x40021C18</v>
      </c>
      <c r="K12" s="15" t="str">
        <f aca="false">"0x"&amp;DEC2HEX(HEX2DEC(SUBSTITUTE($B12,"0x",""))+HEX2DEC(SUBSTITUTE(INDEX(Register!$C$5:$C$118,MATCH("GPIO|"&amp;K$4,Register!$H$5:$H$118,0)),"0x","")),8)</f>
        <v>0x40021C1C</v>
      </c>
      <c r="L12" s="15" t="str">
        <f aca="false">"0x"&amp;DEC2HEX(HEX2DEC(SUBSTITUTE($B12,"0x",""))+HEX2DEC(SUBSTITUTE(INDEX(Register!$C$5:$C$118,MATCH("GPIO|"&amp;L$4,Register!$H$5:$H$118,0)),"0x","")),8)</f>
        <v>0x40021C20</v>
      </c>
      <c r="M12" s="15" t="str">
        <f aca="false">"0x"&amp;DEC2HEX(HEX2DEC(SUBSTITUTE($B12,"0x",""))+HEX2DEC(SUBSTITUTE(INDEX(Register!$C$5:$C$118,MATCH("GPIO|"&amp;M$4,Register!$H$5:$H$118,0)),"0x","")),8)</f>
        <v>0x40021C24</v>
      </c>
    </row>
    <row r="13" customFormat="false" ht="15" hidden="false" customHeight="false" outlineLevel="0" collapsed="false">
      <c r="A13" s="14" t="s">
        <v>219</v>
      </c>
      <c r="B13" s="15" t="str">
        <f aca="false">INDEX(Peripheral!$C$5:$C$72,MATCH(A13,Peripheral!$B$5:$B$72,0))</f>
        <v>0x40022000</v>
      </c>
      <c r="C13" s="16" t="str">
        <f aca="false">"AHB1ENR bit "&amp;LEFT(INDEX(Peripheral!$H$5:$H$72,MATCH(A13,Peripheral!$B$5:$B$72,0)),1)</f>
        <v>AHB1ENR bit 8</v>
      </c>
      <c r="D13" s="15" t="str">
        <f aca="false">"0x"&amp;DEC2HEX(HEX2DEC(SUBSTITUTE($B13,"0x",""))+HEX2DEC(SUBSTITUTE(INDEX(Register!$C$5:$C$118,MATCH("GPIO|"&amp;D$4,Register!$H$5:$H$118,0)),"0x","")),8)</f>
        <v>0x40022000</v>
      </c>
      <c r="E13" s="15" t="str">
        <f aca="false">"0x"&amp;DEC2HEX(HEX2DEC(SUBSTITUTE($B13,"0x",""))+HEX2DEC(SUBSTITUTE(INDEX(Register!$C$5:$C$118,MATCH("GPIO|"&amp;E$4,Register!$H$5:$H$118,0)),"0x","")),8)</f>
        <v>0x40022004</v>
      </c>
      <c r="F13" s="15" t="str">
        <f aca="false">"0x"&amp;DEC2HEX(HEX2DEC(SUBSTITUTE($B13,"0x",""))+HEX2DEC(SUBSTITUTE(INDEX(Register!$C$5:$C$118,MATCH("GPIO|"&amp;F$4,Register!$H$5:$H$118,0)),"0x","")),8)</f>
        <v>0x40022008</v>
      </c>
      <c r="G13" s="15" t="str">
        <f aca="false">"0x"&amp;DEC2HEX(HEX2DEC(SUBSTITUTE($B13,"0x",""))+HEX2DEC(SUBSTITUTE(INDEX(Register!$C$5:$C$118,MATCH("GPIO|"&amp;G$4,Register!$H$5:$H$118,0)),"0x","")),8)</f>
        <v>0x4002200C</v>
      </c>
      <c r="H13" s="15" t="str">
        <f aca="false">"0x"&amp;DEC2HEX(HEX2DEC(SUBSTITUTE($B13,"0x",""))+HEX2DEC(SUBSTITUTE(INDEX(Register!$C$5:$C$118,MATCH("GPIO|"&amp;H$4,Register!$H$5:$H$118,0)),"0x","")),8)</f>
        <v>0x40022010</v>
      </c>
      <c r="I13" s="15" t="str">
        <f aca="false">"0x"&amp;DEC2HEX(HEX2DEC(SUBSTITUTE($B13,"0x",""))+HEX2DEC(SUBSTITUTE(INDEX(Register!$C$5:$C$118,MATCH("GPIO|"&amp;I$4,Register!$H$5:$H$118,0)),"0x","")),8)</f>
        <v>0x40022014</v>
      </c>
      <c r="J13" s="15" t="str">
        <f aca="false">"0x"&amp;DEC2HEX(HEX2DEC(SUBSTITUTE($B13,"0x",""))+HEX2DEC(SUBSTITUTE(INDEX(Register!$C$5:$C$118,MATCH("GPIO|"&amp;J$4,Register!$H$5:$H$118,0)),"0x","")),8)</f>
        <v>0x40022018</v>
      </c>
      <c r="K13" s="15" t="str">
        <f aca="false">"0x"&amp;DEC2HEX(HEX2DEC(SUBSTITUTE($B13,"0x",""))+HEX2DEC(SUBSTITUTE(INDEX(Register!$C$5:$C$118,MATCH("GPIO|"&amp;K$4,Register!$H$5:$H$118,0)),"0x","")),8)</f>
        <v>0x4002201C</v>
      </c>
      <c r="L13" s="15" t="str">
        <f aca="false">"0x"&amp;DEC2HEX(HEX2DEC(SUBSTITUTE($B13,"0x",""))+HEX2DEC(SUBSTITUTE(INDEX(Register!$C$5:$C$118,MATCH("GPIO|"&amp;L$4,Register!$H$5:$H$118,0)),"0x","")),8)</f>
        <v>0x40022020</v>
      </c>
      <c r="M13" s="15" t="str">
        <f aca="false">"0x"&amp;DEC2HEX(HEX2DEC(SUBSTITUTE($B13,"0x",""))+HEX2DEC(SUBSTITUTE(INDEX(Register!$C$5:$C$118,MATCH("GPIO|"&amp;M$4,Register!$H$5:$H$118,0)),"0x","")),8)</f>
        <v>0x40022024</v>
      </c>
    </row>
    <row r="15" customFormat="false" ht="15" hidden="false" customHeight="false" outlineLevel="0" collapsed="false">
      <c r="A15" s="17" t="s">
        <v>920</v>
      </c>
    </row>
    <row r="17" customFormat="false" ht="15" hidden="false" customHeight="false" outlineLevel="0" collapsed="false">
      <c r="A17" s="3" t="s">
        <v>921</v>
      </c>
    </row>
    <row r="18" customFormat="false" ht="15" hidden="false" customHeight="false" outlineLevel="0" collapsed="false">
      <c r="A18" s="18" t="s">
        <v>7</v>
      </c>
      <c r="B18" s="18" t="s">
        <v>922</v>
      </c>
    </row>
    <row r="19" customFormat="false" ht="15" hidden="false" customHeight="false" outlineLevel="0" collapsed="false">
      <c r="A19" s="16" t="s">
        <v>923</v>
      </c>
      <c r="B19" s="15" t="str">
        <f aca="false">"0x"&amp;DEC2HEX(HEX2DEC(SUBSTITUTE(INDEX(Peripheral!$C$5:$C$72,MATCH("RCC",Peripheral!$B$5:$B$72,0)),"0x",""))+HEX2DEC(SUBSTITUTE(INDEX(Register!$C$5:$C$118,MATCH("RCC|CR",Register!$H$5:$H$118,0)),"0x","")),8)</f>
        <v>0x40023800</v>
      </c>
    </row>
    <row r="20" customFormat="false" ht="15" hidden="false" customHeight="false" outlineLevel="0" collapsed="false">
      <c r="A20" s="16" t="s">
        <v>924</v>
      </c>
      <c r="B20" s="15" t="str">
        <f aca="false">"0x"&amp;DEC2HEX(HEX2DEC(SUBSTITUTE(INDEX(Peripheral!$C$5:$C$72,MATCH("RCC",Peripheral!$B$5:$B$72,0)),"0x",""))+HEX2DEC(SUBSTITUTE(INDEX(Register!$C$5:$C$118,MATCH("RCC|PLLCFGR",Register!$H$5:$H$118,0)),"0x","")),8)</f>
        <v>0x40023804</v>
      </c>
    </row>
    <row r="21" customFormat="false" ht="15" hidden="false" customHeight="false" outlineLevel="0" collapsed="false">
      <c r="A21" s="16" t="s">
        <v>925</v>
      </c>
      <c r="B21" s="15" t="str">
        <f aca="false">"0x"&amp;DEC2HEX(HEX2DEC(SUBSTITUTE(INDEX(Peripheral!$C$5:$C$72,MATCH("RCC",Peripheral!$B$5:$B$72,0)),"0x",""))+HEX2DEC(SUBSTITUTE(INDEX(Register!$C$5:$C$118,MATCH("RCC|CFGR",Register!$H$5:$H$118,0)),"0x","")),8)</f>
        <v>0x40023808</v>
      </c>
    </row>
    <row r="22" customFormat="false" ht="15" hidden="false" customHeight="false" outlineLevel="0" collapsed="false">
      <c r="A22" s="16" t="s">
        <v>185</v>
      </c>
      <c r="B22" s="15" t="str">
        <f aca="false">"0x"&amp;DEC2HEX(HEX2DEC(SUBSTITUTE(INDEX(Peripheral!$C$5:$C$72,MATCH("RCC",Peripheral!$B$5:$B$72,0)),"0x",""))+HEX2DEC(SUBSTITUTE(INDEX(Register!$C$5:$C$118,MATCH("RCC|AHB1ENR",Register!$H$5:$H$118,0)),"0x","")),8)</f>
        <v>0x40023830</v>
      </c>
    </row>
    <row r="23" customFormat="false" ht="15" hidden="false" customHeight="false" outlineLevel="0" collapsed="false">
      <c r="A23" s="16" t="s">
        <v>170</v>
      </c>
      <c r="B23" s="15" t="str">
        <f aca="false">"0x"&amp;DEC2HEX(HEX2DEC(SUBSTITUTE(INDEX(Peripheral!$C$5:$C$72,MATCH("RCC",Peripheral!$B$5:$B$72,0)),"0x",""))+HEX2DEC(SUBSTITUTE(INDEX(Register!$C$5:$C$118,MATCH("RCC|AHB2ENR",Register!$H$5:$H$118,0)),"0x","")),8)</f>
        <v>0x40023834</v>
      </c>
    </row>
    <row r="24" customFormat="false" ht="15" hidden="false" customHeight="false" outlineLevel="0" collapsed="false">
      <c r="A24" s="16" t="s">
        <v>331</v>
      </c>
      <c r="B24" s="15" t="str">
        <f aca="false">"0x"&amp;DEC2HEX(HEX2DEC(SUBSTITUTE(INDEX(Peripheral!$C$5:$C$72,MATCH("RCC",Peripheral!$B$5:$B$72,0)),"0x",""))+HEX2DEC(SUBSTITUTE(INDEX(Register!$C$5:$C$118,MATCH("RCC|APB1ENR",Register!$H$5:$H$118,0)),"0x","")),8)</f>
        <v>0x40023840</v>
      </c>
    </row>
    <row r="25" customFormat="false" ht="15" hidden="false" customHeight="false" outlineLevel="0" collapsed="false">
      <c r="A25" s="16" t="s">
        <v>270</v>
      </c>
      <c r="B25" s="15" t="str">
        <f aca="false">"0x"&amp;DEC2HEX(HEX2DEC(SUBSTITUTE(INDEX(Peripheral!$C$5:$C$72,MATCH("RCC",Peripheral!$B$5:$B$72,0)),"0x",""))+HEX2DEC(SUBSTITUTE(INDEX(Register!$C$5:$C$118,MATCH("RCC|APB2ENR",Register!$H$5:$H$118,0)),"0x","")),8)</f>
        <v>0x40023844</v>
      </c>
    </row>
    <row r="26" customFormat="false" ht="15" hidden="false" customHeight="false" outlineLevel="0" collapsed="false">
      <c r="A26" s="16" t="s">
        <v>418</v>
      </c>
      <c r="B26" s="15" t="str">
        <f aca="false">"0x"&amp;DEC2HEX(HEX2DEC(SUBSTITUTE(INDEX(Peripheral!$C$5:$C$72,MATCH("RCC",Peripheral!$B$5:$B$72,0)),"0x",""))+HEX2DEC(SUBSTITUTE(INDEX(Register!$C$5:$C$118,MATCH("RCC|BDCR",Register!$H$5:$H$118,0)),"0x","")),8)</f>
        <v>0x40023870</v>
      </c>
    </row>
    <row r="27" customFormat="false" ht="15" hidden="false" customHeight="false" outlineLevel="0" collapsed="false">
      <c r="A27" s="16" t="s">
        <v>926</v>
      </c>
      <c r="B27" s="15" t="str">
        <f aca="false">"0x"&amp;DEC2HEX(HEX2DEC(SUBSTITUTE(INDEX(Peripheral!$C$5:$C$72,MATCH("RCC",Peripheral!$B$5:$B$72,0)),"0x",""))+HEX2DEC(SUBSTITUTE(INDEX(Register!$C$5:$C$118,MATCH("RCC|CSR",Register!$H$5:$H$118,0)),"0x","")),8)</f>
        <v>0x40023874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18" min="3" style="0" width="15"/>
    <col collapsed="false" customWidth="true" hidden="false" outlineLevel="0" max="19" min="19" style="0" width="34"/>
  </cols>
  <sheetData>
    <row r="1" customFormat="false" ht="17.35" hidden="false" customHeight="false" outlineLevel="0" collapsed="false">
      <c r="A1" s="1" t="s">
        <v>927</v>
      </c>
    </row>
    <row r="2" customFormat="false" ht="15" hidden="false" customHeight="false" outlineLevel="0" collapsed="false">
      <c r="A2" s="2" t="s">
        <v>928</v>
      </c>
    </row>
    <row r="4" customFormat="false" ht="15" hidden="false" customHeight="false" outlineLevel="0" collapsed="false">
      <c r="A4" s="13" t="s">
        <v>917</v>
      </c>
      <c r="B4" s="13" t="s">
        <v>929</v>
      </c>
      <c r="C4" s="13" t="s">
        <v>930</v>
      </c>
      <c r="D4" s="13" t="s">
        <v>931</v>
      </c>
      <c r="E4" s="13" t="s">
        <v>932</v>
      </c>
      <c r="F4" s="13" t="s">
        <v>933</v>
      </c>
      <c r="G4" s="13" t="s">
        <v>934</v>
      </c>
      <c r="H4" s="13" t="s">
        <v>935</v>
      </c>
      <c r="I4" s="13" t="s">
        <v>936</v>
      </c>
      <c r="J4" s="13" t="s">
        <v>937</v>
      </c>
      <c r="K4" s="13" t="s">
        <v>938</v>
      </c>
      <c r="L4" s="13" t="s">
        <v>939</v>
      </c>
      <c r="M4" s="13" t="s">
        <v>940</v>
      </c>
      <c r="N4" s="13" t="s">
        <v>941</v>
      </c>
      <c r="O4" s="13" t="s">
        <v>942</v>
      </c>
      <c r="P4" s="13" t="s">
        <v>943</v>
      </c>
      <c r="Q4" s="13" t="s">
        <v>944</v>
      </c>
      <c r="R4" s="13" t="s">
        <v>945</v>
      </c>
      <c r="S4" s="13" t="s">
        <v>946</v>
      </c>
    </row>
    <row r="5" customFormat="false" ht="33.75" hidden="false" customHeight="true" outlineLevel="0" collapsed="false">
      <c r="A5" s="19"/>
      <c r="B5" s="20" t="s">
        <v>947</v>
      </c>
      <c r="C5" s="21" t="s">
        <v>948</v>
      </c>
      <c r="D5" s="21" t="s">
        <v>949</v>
      </c>
      <c r="E5" s="21" t="s">
        <v>950</v>
      </c>
      <c r="F5" s="21" t="s">
        <v>951</v>
      </c>
      <c r="G5" s="21" t="s">
        <v>952</v>
      </c>
      <c r="H5" s="21" t="s">
        <v>953</v>
      </c>
      <c r="I5" s="21" t="s">
        <v>954</v>
      </c>
      <c r="J5" s="21" t="s">
        <v>955</v>
      </c>
      <c r="K5" s="21" t="s">
        <v>956</v>
      </c>
      <c r="L5" s="21" t="s">
        <v>957</v>
      </c>
      <c r="M5" s="21" t="s">
        <v>958</v>
      </c>
      <c r="N5" s="21" t="s">
        <v>959</v>
      </c>
      <c r="O5" s="21" t="s">
        <v>960</v>
      </c>
      <c r="P5" s="21" t="s">
        <v>172</v>
      </c>
      <c r="Q5" s="21" t="s">
        <v>43</v>
      </c>
      <c r="R5" s="21" t="s">
        <v>43</v>
      </c>
      <c r="S5" s="19"/>
    </row>
    <row r="6" customFormat="false" ht="15" hidden="false" customHeight="false" outlineLevel="0" collapsed="false">
      <c r="A6" s="16" t="s">
        <v>262</v>
      </c>
      <c r="B6" s="14" t="s">
        <v>961</v>
      </c>
      <c r="C6" s="22" t="s">
        <v>43</v>
      </c>
      <c r="D6" s="23" t="s">
        <v>962</v>
      </c>
      <c r="E6" s="23" t="s">
        <v>963</v>
      </c>
      <c r="F6" s="23" t="s">
        <v>964</v>
      </c>
      <c r="G6" s="22" t="s">
        <v>43</v>
      </c>
      <c r="H6" s="22" t="s">
        <v>43</v>
      </c>
      <c r="I6" s="22" t="s">
        <v>43</v>
      </c>
      <c r="J6" s="23" t="s">
        <v>965</v>
      </c>
      <c r="K6" s="23" t="s">
        <v>966</v>
      </c>
      <c r="L6" s="22" t="s">
        <v>43</v>
      </c>
      <c r="M6" s="22" t="s">
        <v>43</v>
      </c>
      <c r="N6" s="23" t="s">
        <v>967</v>
      </c>
      <c r="O6" s="22" t="s">
        <v>43</v>
      </c>
      <c r="P6" s="22" t="s">
        <v>43</v>
      </c>
      <c r="Q6" s="22" t="s">
        <v>43</v>
      </c>
      <c r="R6" s="22" t="s">
        <v>968</v>
      </c>
      <c r="S6" s="24" t="s">
        <v>969</v>
      </c>
    </row>
    <row r="7" customFormat="false" ht="15" hidden="false" customHeight="false" outlineLevel="0" collapsed="false">
      <c r="A7" s="16" t="s">
        <v>262</v>
      </c>
      <c r="B7" s="14" t="s">
        <v>970</v>
      </c>
      <c r="C7" s="22" t="s">
        <v>43</v>
      </c>
      <c r="D7" s="23" t="s">
        <v>971</v>
      </c>
      <c r="E7" s="23" t="s">
        <v>972</v>
      </c>
      <c r="F7" s="22" t="s">
        <v>43</v>
      </c>
      <c r="G7" s="22" t="s">
        <v>43</v>
      </c>
      <c r="H7" s="22" t="s">
        <v>43</v>
      </c>
      <c r="I7" s="22" t="s">
        <v>43</v>
      </c>
      <c r="J7" s="23" t="s">
        <v>973</v>
      </c>
      <c r="K7" s="23" t="s">
        <v>974</v>
      </c>
      <c r="L7" s="22" t="s">
        <v>43</v>
      </c>
      <c r="M7" s="22" t="s">
        <v>43</v>
      </c>
      <c r="N7" s="23" t="s">
        <v>975</v>
      </c>
      <c r="O7" s="22" t="s">
        <v>43</v>
      </c>
      <c r="P7" s="22" t="s">
        <v>43</v>
      </c>
      <c r="Q7" s="22" t="s">
        <v>43</v>
      </c>
      <c r="R7" s="22" t="s">
        <v>968</v>
      </c>
      <c r="S7" s="24"/>
    </row>
    <row r="8" customFormat="false" ht="15" hidden="false" customHeight="false" outlineLevel="0" collapsed="false">
      <c r="A8" s="16" t="s">
        <v>262</v>
      </c>
      <c r="B8" s="14" t="s">
        <v>976</v>
      </c>
      <c r="C8" s="22" t="s">
        <v>43</v>
      </c>
      <c r="D8" s="23" t="s">
        <v>977</v>
      </c>
      <c r="E8" s="23" t="s">
        <v>978</v>
      </c>
      <c r="F8" s="23" t="s">
        <v>979</v>
      </c>
      <c r="G8" s="22" t="s">
        <v>43</v>
      </c>
      <c r="H8" s="22" t="s">
        <v>43</v>
      </c>
      <c r="I8" s="22" t="s">
        <v>43</v>
      </c>
      <c r="J8" s="23" t="s">
        <v>980</v>
      </c>
      <c r="K8" s="22" t="s">
        <v>43</v>
      </c>
      <c r="L8" s="22" t="s">
        <v>43</v>
      </c>
      <c r="M8" s="22" t="s">
        <v>43</v>
      </c>
      <c r="N8" s="23" t="s">
        <v>981</v>
      </c>
      <c r="O8" s="22" t="s">
        <v>43</v>
      </c>
      <c r="P8" s="22" t="s">
        <v>43</v>
      </c>
      <c r="Q8" s="22" t="s">
        <v>43</v>
      </c>
      <c r="R8" s="22" t="s">
        <v>968</v>
      </c>
      <c r="S8" s="24"/>
    </row>
    <row r="9" customFormat="false" ht="15" hidden="false" customHeight="false" outlineLevel="0" collapsed="false">
      <c r="A9" s="16" t="s">
        <v>262</v>
      </c>
      <c r="B9" s="14" t="s">
        <v>982</v>
      </c>
      <c r="C9" s="22" t="s">
        <v>43</v>
      </c>
      <c r="D9" s="23" t="s">
        <v>983</v>
      </c>
      <c r="E9" s="23" t="s">
        <v>984</v>
      </c>
      <c r="F9" s="23" t="s">
        <v>985</v>
      </c>
      <c r="G9" s="22" t="s">
        <v>43</v>
      </c>
      <c r="H9" s="22" t="s">
        <v>43</v>
      </c>
      <c r="I9" s="22" t="s">
        <v>43</v>
      </c>
      <c r="J9" s="23" t="s">
        <v>986</v>
      </c>
      <c r="K9" s="22" t="s">
        <v>43</v>
      </c>
      <c r="L9" s="22" t="s">
        <v>43</v>
      </c>
      <c r="M9" s="23" t="s">
        <v>987</v>
      </c>
      <c r="N9" s="23" t="s">
        <v>988</v>
      </c>
      <c r="O9" s="22" t="s">
        <v>43</v>
      </c>
      <c r="P9" s="22" t="s">
        <v>43</v>
      </c>
      <c r="Q9" s="22" t="s">
        <v>43</v>
      </c>
      <c r="R9" s="22" t="s">
        <v>968</v>
      </c>
      <c r="S9" s="24"/>
    </row>
    <row r="10" customFormat="false" ht="15" hidden="false" customHeight="false" outlineLevel="0" collapsed="false">
      <c r="A10" s="16" t="s">
        <v>262</v>
      </c>
      <c r="B10" s="14" t="s">
        <v>989</v>
      </c>
      <c r="C10" s="22" t="s">
        <v>43</v>
      </c>
      <c r="D10" s="22" t="s">
        <v>43</v>
      </c>
      <c r="E10" s="22" t="s">
        <v>43</v>
      </c>
      <c r="F10" s="22" t="s">
        <v>43</v>
      </c>
      <c r="G10" s="22" t="s">
        <v>43</v>
      </c>
      <c r="H10" s="23" t="s">
        <v>990</v>
      </c>
      <c r="I10" s="23" t="s">
        <v>991</v>
      </c>
      <c r="J10" s="23" t="s">
        <v>992</v>
      </c>
      <c r="K10" s="22" t="s">
        <v>43</v>
      </c>
      <c r="L10" s="22" t="s">
        <v>43</v>
      </c>
      <c r="M10" s="22" t="s">
        <v>43</v>
      </c>
      <c r="N10" s="22" t="s">
        <v>43</v>
      </c>
      <c r="O10" s="23" t="s">
        <v>993</v>
      </c>
      <c r="P10" s="23" t="s">
        <v>994</v>
      </c>
      <c r="Q10" s="22" t="s">
        <v>43</v>
      </c>
      <c r="R10" s="22" t="s">
        <v>968</v>
      </c>
      <c r="S10" s="24"/>
    </row>
    <row r="11" customFormat="false" ht="15" hidden="false" customHeight="false" outlineLevel="0" collapsed="false">
      <c r="A11" s="16" t="s">
        <v>262</v>
      </c>
      <c r="B11" s="14" t="s">
        <v>995</v>
      </c>
      <c r="C11" s="22" t="s">
        <v>43</v>
      </c>
      <c r="D11" s="23" t="s">
        <v>962</v>
      </c>
      <c r="E11" s="22" t="s">
        <v>43</v>
      </c>
      <c r="F11" s="23" t="s">
        <v>996</v>
      </c>
      <c r="G11" s="22" t="s">
        <v>43</v>
      </c>
      <c r="H11" s="23" t="s">
        <v>997</v>
      </c>
      <c r="I11" s="22" t="s">
        <v>43</v>
      </c>
      <c r="J11" s="22" t="s">
        <v>43</v>
      </c>
      <c r="K11" s="22" t="s">
        <v>43</v>
      </c>
      <c r="L11" s="22" t="s">
        <v>43</v>
      </c>
      <c r="M11" s="23" t="s">
        <v>998</v>
      </c>
      <c r="N11" s="22" t="s">
        <v>43</v>
      </c>
      <c r="O11" s="22" t="s">
        <v>43</v>
      </c>
      <c r="P11" s="22" t="s">
        <v>43</v>
      </c>
      <c r="Q11" s="22" t="s">
        <v>43</v>
      </c>
      <c r="R11" s="22" t="s">
        <v>968</v>
      </c>
      <c r="S11" s="24"/>
    </row>
    <row r="12" customFormat="false" ht="15" hidden="false" customHeight="false" outlineLevel="0" collapsed="false">
      <c r="A12" s="16" t="s">
        <v>262</v>
      </c>
      <c r="B12" s="14" t="s">
        <v>999</v>
      </c>
      <c r="C12" s="22" t="s">
        <v>43</v>
      </c>
      <c r="D12" s="23" t="s">
        <v>1000</v>
      </c>
      <c r="E12" s="23" t="s">
        <v>1001</v>
      </c>
      <c r="F12" s="23" t="s">
        <v>1002</v>
      </c>
      <c r="G12" s="22" t="s">
        <v>43</v>
      </c>
      <c r="H12" s="23" t="s">
        <v>1003</v>
      </c>
      <c r="I12" s="22" t="s">
        <v>43</v>
      </c>
      <c r="J12" s="22" t="s">
        <v>43</v>
      </c>
      <c r="K12" s="22" t="s">
        <v>43</v>
      </c>
      <c r="L12" s="23" t="s">
        <v>1004</v>
      </c>
      <c r="M12" s="22" t="s">
        <v>43</v>
      </c>
      <c r="N12" s="22" t="s">
        <v>43</v>
      </c>
      <c r="O12" s="22" t="s">
        <v>43</v>
      </c>
      <c r="P12" s="23" t="s">
        <v>1005</v>
      </c>
      <c r="Q12" s="22" t="s">
        <v>43</v>
      </c>
      <c r="R12" s="22" t="s">
        <v>968</v>
      </c>
      <c r="S12" s="24"/>
    </row>
    <row r="13" customFormat="false" ht="15" hidden="false" customHeight="false" outlineLevel="0" collapsed="false">
      <c r="A13" s="16" t="s">
        <v>262</v>
      </c>
      <c r="B13" s="14" t="s">
        <v>1006</v>
      </c>
      <c r="C13" s="22" t="s">
        <v>43</v>
      </c>
      <c r="D13" s="23" t="s">
        <v>1007</v>
      </c>
      <c r="E13" s="23" t="s">
        <v>1008</v>
      </c>
      <c r="F13" s="23" t="s">
        <v>996</v>
      </c>
      <c r="G13" s="22" t="s">
        <v>43</v>
      </c>
      <c r="H13" s="23" t="s">
        <v>1009</v>
      </c>
      <c r="I13" s="22" t="s">
        <v>43</v>
      </c>
      <c r="J13" s="22" t="s">
        <v>43</v>
      </c>
      <c r="K13" s="22" t="s">
        <v>43</v>
      </c>
      <c r="L13" s="23" t="s">
        <v>1010</v>
      </c>
      <c r="M13" s="22" t="s">
        <v>43</v>
      </c>
      <c r="N13" s="23" t="s">
        <v>1011</v>
      </c>
      <c r="O13" s="22" t="s">
        <v>43</v>
      </c>
      <c r="P13" s="22" t="s">
        <v>43</v>
      </c>
      <c r="Q13" s="22" t="s">
        <v>43</v>
      </c>
      <c r="R13" s="22" t="s">
        <v>968</v>
      </c>
      <c r="S13" s="24"/>
    </row>
    <row r="14" customFormat="false" ht="15" hidden="false" customHeight="false" outlineLevel="0" collapsed="false">
      <c r="A14" s="16" t="s">
        <v>262</v>
      </c>
      <c r="B14" s="14" t="s">
        <v>1012</v>
      </c>
      <c r="C14" s="23" t="s">
        <v>1013</v>
      </c>
      <c r="D14" s="23" t="s">
        <v>1014</v>
      </c>
      <c r="E14" s="22" t="s">
        <v>43</v>
      </c>
      <c r="F14" s="22" t="s">
        <v>43</v>
      </c>
      <c r="G14" s="23" t="s">
        <v>1015</v>
      </c>
      <c r="H14" s="22" t="s">
        <v>43</v>
      </c>
      <c r="I14" s="22" t="s">
        <v>43</v>
      </c>
      <c r="J14" s="23" t="s">
        <v>1016</v>
      </c>
      <c r="K14" s="22" t="s">
        <v>43</v>
      </c>
      <c r="L14" s="22" t="s">
        <v>43</v>
      </c>
      <c r="M14" s="23" t="s">
        <v>1017</v>
      </c>
      <c r="N14" s="22" t="s">
        <v>43</v>
      </c>
      <c r="O14" s="22" t="s">
        <v>43</v>
      </c>
      <c r="P14" s="22" t="s">
        <v>43</v>
      </c>
      <c r="Q14" s="22" t="s">
        <v>43</v>
      </c>
      <c r="R14" s="22" t="s">
        <v>968</v>
      </c>
      <c r="S14" s="24"/>
    </row>
    <row r="15" customFormat="false" ht="15" hidden="false" customHeight="false" outlineLevel="0" collapsed="false">
      <c r="A15" s="16" t="s">
        <v>262</v>
      </c>
      <c r="B15" s="14" t="s">
        <v>1018</v>
      </c>
      <c r="C15" s="22" t="s">
        <v>43</v>
      </c>
      <c r="D15" s="23" t="s">
        <v>1019</v>
      </c>
      <c r="E15" s="22" t="s">
        <v>43</v>
      </c>
      <c r="F15" s="22" t="s">
        <v>43</v>
      </c>
      <c r="G15" s="23" t="s">
        <v>1020</v>
      </c>
      <c r="H15" s="22" t="s">
        <v>43</v>
      </c>
      <c r="I15" s="22" t="s">
        <v>43</v>
      </c>
      <c r="J15" s="23" t="s">
        <v>1021</v>
      </c>
      <c r="K15" s="22" t="s">
        <v>43</v>
      </c>
      <c r="L15" s="22" t="s">
        <v>43</v>
      </c>
      <c r="M15" s="22" t="s">
        <v>43</v>
      </c>
      <c r="N15" s="22" t="s">
        <v>43</v>
      </c>
      <c r="O15" s="22" t="s">
        <v>43</v>
      </c>
      <c r="P15" s="23" t="s">
        <v>1022</v>
      </c>
      <c r="Q15" s="22" t="s">
        <v>43</v>
      </c>
      <c r="R15" s="22" t="s">
        <v>968</v>
      </c>
      <c r="S15" s="24"/>
    </row>
    <row r="16" customFormat="false" ht="15" hidden="false" customHeight="false" outlineLevel="0" collapsed="false">
      <c r="A16" s="16" t="s">
        <v>262</v>
      </c>
      <c r="B16" s="14" t="s">
        <v>1023</v>
      </c>
      <c r="C16" s="22" t="s">
        <v>43</v>
      </c>
      <c r="D16" s="23" t="s">
        <v>1024</v>
      </c>
      <c r="E16" s="22" t="s">
        <v>43</v>
      </c>
      <c r="F16" s="22" t="s">
        <v>43</v>
      </c>
      <c r="G16" s="22" t="s">
        <v>43</v>
      </c>
      <c r="H16" s="22" t="s">
        <v>43</v>
      </c>
      <c r="I16" s="22" t="s">
        <v>43</v>
      </c>
      <c r="J16" s="23" t="s">
        <v>1025</v>
      </c>
      <c r="K16" s="22" t="s">
        <v>43</v>
      </c>
      <c r="L16" s="22" t="s">
        <v>43</v>
      </c>
      <c r="M16" s="23" t="s">
        <v>1026</v>
      </c>
      <c r="N16" s="22" t="s">
        <v>43</v>
      </c>
      <c r="O16" s="22" t="s">
        <v>43</v>
      </c>
      <c r="P16" s="23" t="s">
        <v>1027</v>
      </c>
      <c r="Q16" s="22" t="s">
        <v>43</v>
      </c>
      <c r="R16" s="22" t="s">
        <v>968</v>
      </c>
      <c r="S16" s="24"/>
    </row>
    <row r="17" customFormat="false" ht="15" hidden="false" customHeight="false" outlineLevel="0" collapsed="false">
      <c r="A17" s="16" t="s">
        <v>262</v>
      </c>
      <c r="B17" s="14" t="s">
        <v>1028</v>
      </c>
      <c r="C17" s="22" t="s">
        <v>43</v>
      </c>
      <c r="D17" s="23" t="s">
        <v>1029</v>
      </c>
      <c r="E17" s="22" t="s">
        <v>43</v>
      </c>
      <c r="F17" s="22" t="s">
        <v>43</v>
      </c>
      <c r="G17" s="22" t="s">
        <v>43</v>
      </c>
      <c r="H17" s="22" t="s">
        <v>43</v>
      </c>
      <c r="I17" s="22" t="s">
        <v>43</v>
      </c>
      <c r="J17" s="23" t="s">
        <v>1030</v>
      </c>
      <c r="K17" s="22" t="s">
        <v>43</v>
      </c>
      <c r="L17" s="23" t="s">
        <v>1031</v>
      </c>
      <c r="M17" s="23" t="s">
        <v>1032</v>
      </c>
      <c r="N17" s="22" t="s">
        <v>43</v>
      </c>
      <c r="O17" s="22" t="s">
        <v>43</v>
      </c>
      <c r="P17" s="22" t="s">
        <v>43</v>
      </c>
      <c r="Q17" s="22" t="s">
        <v>43</v>
      </c>
      <c r="R17" s="22" t="s">
        <v>968</v>
      </c>
      <c r="S17" s="24"/>
    </row>
    <row r="18" customFormat="false" ht="15" hidden="false" customHeight="false" outlineLevel="0" collapsed="false">
      <c r="A18" s="16" t="s">
        <v>262</v>
      </c>
      <c r="B18" s="14" t="s">
        <v>1033</v>
      </c>
      <c r="C18" s="22" t="s">
        <v>43</v>
      </c>
      <c r="D18" s="23" t="s">
        <v>1034</v>
      </c>
      <c r="E18" s="22" t="s">
        <v>43</v>
      </c>
      <c r="F18" s="22" t="s">
        <v>43</v>
      </c>
      <c r="G18" s="22" t="s">
        <v>43</v>
      </c>
      <c r="H18" s="22" t="s">
        <v>43</v>
      </c>
      <c r="I18" s="22" t="s">
        <v>43</v>
      </c>
      <c r="J18" s="23" t="s">
        <v>1035</v>
      </c>
      <c r="K18" s="22" t="s">
        <v>43</v>
      </c>
      <c r="L18" s="23" t="s">
        <v>1036</v>
      </c>
      <c r="M18" s="23" t="s">
        <v>1037</v>
      </c>
      <c r="N18" s="22" t="s">
        <v>43</v>
      </c>
      <c r="O18" s="22" t="s">
        <v>43</v>
      </c>
      <c r="P18" s="22" t="s">
        <v>43</v>
      </c>
      <c r="Q18" s="22" t="s">
        <v>43</v>
      </c>
      <c r="R18" s="22" t="s">
        <v>968</v>
      </c>
      <c r="S18" s="24"/>
    </row>
    <row r="19" customFormat="false" ht="15" hidden="false" customHeight="false" outlineLevel="0" collapsed="false">
      <c r="A19" s="16" t="s">
        <v>262</v>
      </c>
      <c r="B19" s="14" t="s">
        <v>1038</v>
      </c>
      <c r="C19" s="23" t="s">
        <v>1039</v>
      </c>
      <c r="D19" s="22" t="s">
        <v>43</v>
      </c>
      <c r="E19" s="22" t="s">
        <v>43</v>
      </c>
      <c r="F19" s="22" t="s">
        <v>43</v>
      </c>
      <c r="G19" s="22" t="s">
        <v>43</v>
      </c>
      <c r="H19" s="22" t="s">
        <v>43</v>
      </c>
      <c r="I19" s="22" t="s">
        <v>43</v>
      </c>
      <c r="J19" s="22" t="s">
        <v>43</v>
      </c>
      <c r="K19" s="22" t="s">
        <v>43</v>
      </c>
      <c r="L19" s="22" t="s">
        <v>43</v>
      </c>
      <c r="M19" s="22" t="s">
        <v>43</v>
      </c>
      <c r="N19" s="22" t="s">
        <v>43</v>
      </c>
      <c r="O19" s="22" t="s">
        <v>43</v>
      </c>
      <c r="P19" s="22" t="s">
        <v>43</v>
      </c>
      <c r="Q19" s="22" t="s">
        <v>43</v>
      </c>
      <c r="R19" s="22" t="s">
        <v>968</v>
      </c>
      <c r="S19" s="24" t="s">
        <v>1040</v>
      </c>
    </row>
    <row r="20" customFormat="false" ht="15" hidden="false" customHeight="false" outlineLevel="0" collapsed="false">
      <c r="A20" s="16" t="s">
        <v>262</v>
      </c>
      <c r="B20" s="14" t="s">
        <v>1041</v>
      </c>
      <c r="C20" s="23" t="s">
        <v>1042</v>
      </c>
      <c r="D20" s="22" t="s">
        <v>43</v>
      </c>
      <c r="E20" s="22" t="s">
        <v>43</v>
      </c>
      <c r="F20" s="22" t="s">
        <v>43</v>
      </c>
      <c r="G20" s="22" t="s">
        <v>43</v>
      </c>
      <c r="H20" s="22" t="s">
        <v>43</v>
      </c>
      <c r="I20" s="22" t="s">
        <v>43</v>
      </c>
      <c r="J20" s="22" t="s">
        <v>43</v>
      </c>
      <c r="K20" s="22" t="s">
        <v>43</v>
      </c>
      <c r="L20" s="22" t="s">
        <v>43</v>
      </c>
      <c r="M20" s="22" t="s">
        <v>43</v>
      </c>
      <c r="N20" s="22" t="s">
        <v>43</v>
      </c>
      <c r="O20" s="22" t="s">
        <v>43</v>
      </c>
      <c r="P20" s="22" t="s">
        <v>43</v>
      </c>
      <c r="Q20" s="22" t="s">
        <v>43</v>
      </c>
      <c r="R20" s="22" t="s">
        <v>968</v>
      </c>
      <c r="S20" s="24" t="s">
        <v>1043</v>
      </c>
    </row>
    <row r="21" customFormat="false" ht="15" hidden="false" customHeight="false" outlineLevel="0" collapsed="false">
      <c r="A21" s="16" t="s">
        <v>262</v>
      </c>
      <c r="B21" s="14" t="s">
        <v>1044</v>
      </c>
      <c r="C21" s="23" t="s">
        <v>1045</v>
      </c>
      <c r="D21" s="23" t="s">
        <v>1046</v>
      </c>
      <c r="E21" s="22" t="s">
        <v>43</v>
      </c>
      <c r="F21" s="22" t="s">
        <v>43</v>
      </c>
      <c r="G21" s="22" t="s">
        <v>43</v>
      </c>
      <c r="H21" s="23" t="s">
        <v>990</v>
      </c>
      <c r="I21" s="23" t="s">
        <v>991</v>
      </c>
      <c r="J21" s="22" t="s">
        <v>43</v>
      </c>
      <c r="K21" s="22" t="s">
        <v>43</v>
      </c>
      <c r="L21" s="22" t="s">
        <v>43</v>
      </c>
      <c r="M21" s="22" t="s">
        <v>43</v>
      </c>
      <c r="N21" s="22" t="s">
        <v>43</v>
      </c>
      <c r="O21" s="22" t="s">
        <v>43</v>
      </c>
      <c r="P21" s="22" t="s">
        <v>43</v>
      </c>
      <c r="Q21" s="22" t="s">
        <v>43</v>
      </c>
      <c r="R21" s="22" t="s">
        <v>968</v>
      </c>
      <c r="S21" s="24" t="s">
        <v>1047</v>
      </c>
    </row>
    <row r="22" customFormat="false" ht="15" hidden="false" customHeight="false" outlineLevel="0" collapsed="false">
      <c r="A22" s="25" t="s">
        <v>258</v>
      </c>
      <c r="B22" s="26" t="s">
        <v>1048</v>
      </c>
      <c r="C22" s="27" t="s">
        <v>43</v>
      </c>
      <c r="D22" s="28" t="s">
        <v>1049</v>
      </c>
      <c r="E22" s="28" t="s">
        <v>1050</v>
      </c>
      <c r="F22" s="28" t="s">
        <v>1051</v>
      </c>
      <c r="G22" s="27" t="s">
        <v>43</v>
      </c>
      <c r="H22" s="27" t="s">
        <v>43</v>
      </c>
      <c r="I22" s="27" t="s">
        <v>43</v>
      </c>
      <c r="J22" s="27" t="s">
        <v>43</v>
      </c>
      <c r="K22" s="27" t="s">
        <v>43</v>
      </c>
      <c r="L22" s="27" t="s">
        <v>43</v>
      </c>
      <c r="M22" s="28" t="s">
        <v>1052</v>
      </c>
      <c r="N22" s="28" t="s">
        <v>1053</v>
      </c>
      <c r="O22" s="27" t="s">
        <v>43</v>
      </c>
      <c r="P22" s="27" t="s">
        <v>43</v>
      </c>
      <c r="Q22" s="27" t="s">
        <v>43</v>
      </c>
      <c r="R22" s="27" t="s">
        <v>968</v>
      </c>
      <c r="S22" s="29"/>
    </row>
    <row r="23" customFormat="false" ht="15" hidden="false" customHeight="false" outlineLevel="0" collapsed="false">
      <c r="A23" s="16" t="s">
        <v>258</v>
      </c>
      <c r="B23" s="14" t="s">
        <v>1054</v>
      </c>
      <c r="C23" s="22" t="s">
        <v>43</v>
      </c>
      <c r="D23" s="23" t="s">
        <v>1055</v>
      </c>
      <c r="E23" s="23" t="s">
        <v>1056</v>
      </c>
      <c r="F23" s="23" t="s">
        <v>1057</v>
      </c>
      <c r="G23" s="22" t="s">
        <v>43</v>
      </c>
      <c r="H23" s="22" t="s">
        <v>43</v>
      </c>
      <c r="I23" s="22" t="s">
        <v>43</v>
      </c>
      <c r="J23" s="22" t="s">
        <v>43</v>
      </c>
      <c r="K23" s="22" t="s">
        <v>43</v>
      </c>
      <c r="L23" s="22" t="s">
        <v>43</v>
      </c>
      <c r="M23" s="23" t="s">
        <v>1058</v>
      </c>
      <c r="N23" s="23" t="s">
        <v>1059</v>
      </c>
      <c r="O23" s="22" t="s">
        <v>43</v>
      </c>
      <c r="P23" s="22" t="s">
        <v>43</v>
      </c>
      <c r="Q23" s="22" t="s">
        <v>43</v>
      </c>
      <c r="R23" s="22" t="s">
        <v>968</v>
      </c>
      <c r="S23" s="24"/>
    </row>
    <row r="24" customFormat="false" ht="15" hidden="false" customHeight="false" outlineLevel="0" collapsed="false">
      <c r="A24" s="16" t="s">
        <v>258</v>
      </c>
      <c r="B24" s="14" t="s">
        <v>1060</v>
      </c>
      <c r="C24" s="22" t="s">
        <v>43</v>
      </c>
      <c r="D24" s="22" t="s">
        <v>43</v>
      </c>
      <c r="E24" s="22" t="s">
        <v>43</v>
      </c>
      <c r="F24" s="22" t="s">
        <v>43</v>
      </c>
      <c r="G24" s="22" t="s">
        <v>43</v>
      </c>
      <c r="H24" s="22" t="s">
        <v>43</v>
      </c>
      <c r="I24" s="22" t="s">
        <v>43</v>
      </c>
      <c r="J24" s="22" t="s">
        <v>43</v>
      </c>
      <c r="K24" s="22" t="s">
        <v>43</v>
      </c>
      <c r="L24" s="22" t="s">
        <v>43</v>
      </c>
      <c r="M24" s="22" t="s">
        <v>43</v>
      </c>
      <c r="N24" s="22" t="s">
        <v>43</v>
      </c>
      <c r="O24" s="22" t="s">
        <v>43</v>
      </c>
      <c r="P24" s="22" t="s">
        <v>43</v>
      </c>
      <c r="Q24" s="22" t="s">
        <v>43</v>
      </c>
      <c r="R24" s="22" t="s">
        <v>968</v>
      </c>
      <c r="S24" s="24" t="s">
        <v>1061</v>
      </c>
    </row>
    <row r="25" customFormat="false" ht="15" hidden="false" customHeight="false" outlineLevel="0" collapsed="false">
      <c r="A25" s="16" t="s">
        <v>258</v>
      </c>
      <c r="B25" s="14" t="s">
        <v>1062</v>
      </c>
      <c r="C25" s="23" t="s">
        <v>1063</v>
      </c>
      <c r="D25" s="23" t="s">
        <v>971</v>
      </c>
      <c r="E25" s="22" t="s">
        <v>43</v>
      </c>
      <c r="F25" s="22" t="s">
        <v>43</v>
      </c>
      <c r="G25" s="22" t="s">
        <v>43</v>
      </c>
      <c r="H25" s="23" t="s">
        <v>997</v>
      </c>
      <c r="I25" s="23" t="s">
        <v>1064</v>
      </c>
      <c r="J25" s="22" t="s">
        <v>43</v>
      </c>
      <c r="K25" s="22" t="s">
        <v>43</v>
      </c>
      <c r="L25" s="22" t="s">
        <v>43</v>
      </c>
      <c r="M25" s="22" t="s">
        <v>43</v>
      </c>
      <c r="N25" s="22" t="s">
        <v>43</v>
      </c>
      <c r="O25" s="22" t="s">
        <v>43</v>
      </c>
      <c r="P25" s="22" t="s">
        <v>43</v>
      </c>
      <c r="Q25" s="22" t="s">
        <v>43</v>
      </c>
      <c r="R25" s="22" t="s">
        <v>968</v>
      </c>
      <c r="S25" s="24" t="s">
        <v>1065</v>
      </c>
    </row>
    <row r="26" customFormat="false" ht="15" hidden="false" customHeight="false" outlineLevel="0" collapsed="false">
      <c r="A26" s="16" t="s">
        <v>258</v>
      </c>
      <c r="B26" s="14" t="s">
        <v>1066</v>
      </c>
      <c r="C26" s="23" t="s">
        <v>1067</v>
      </c>
      <c r="D26" s="22" t="s">
        <v>43</v>
      </c>
      <c r="E26" s="23" t="s">
        <v>1001</v>
      </c>
      <c r="F26" s="22" t="s">
        <v>43</v>
      </c>
      <c r="G26" s="22" t="s">
        <v>43</v>
      </c>
      <c r="H26" s="23" t="s">
        <v>1003</v>
      </c>
      <c r="I26" s="23" t="s">
        <v>1068</v>
      </c>
      <c r="J26" s="23" t="s">
        <v>1069</v>
      </c>
      <c r="K26" s="22" t="s">
        <v>43</v>
      </c>
      <c r="L26" s="22" t="s">
        <v>43</v>
      </c>
      <c r="M26" s="22" t="s">
        <v>43</v>
      </c>
      <c r="N26" s="22" t="s">
        <v>43</v>
      </c>
      <c r="O26" s="22" t="s">
        <v>43</v>
      </c>
      <c r="P26" s="22" t="s">
        <v>43</v>
      </c>
      <c r="Q26" s="22" t="s">
        <v>43</v>
      </c>
      <c r="R26" s="22" t="s">
        <v>968</v>
      </c>
      <c r="S26" s="24" t="s">
        <v>1070</v>
      </c>
    </row>
    <row r="27" customFormat="false" ht="15" hidden="false" customHeight="false" outlineLevel="0" collapsed="false">
      <c r="A27" s="16" t="s">
        <v>258</v>
      </c>
      <c r="B27" s="14" t="s">
        <v>1071</v>
      </c>
      <c r="C27" s="22" t="s">
        <v>43</v>
      </c>
      <c r="D27" s="22" t="s">
        <v>43</v>
      </c>
      <c r="E27" s="23" t="s">
        <v>1008</v>
      </c>
      <c r="F27" s="22" t="s">
        <v>43</v>
      </c>
      <c r="G27" s="23" t="s">
        <v>1072</v>
      </c>
      <c r="H27" s="23" t="s">
        <v>1009</v>
      </c>
      <c r="I27" s="23" t="s">
        <v>1073</v>
      </c>
      <c r="J27" s="22" t="s">
        <v>43</v>
      </c>
      <c r="K27" s="22" t="s">
        <v>43</v>
      </c>
      <c r="L27" s="23" t="s">
        <v>1074</v>
      </c>
      <c r="M27" s="23" t="s">
        <v>1075</v>
      </c>
      <c r="N27" s="23" t="s">
        <v>1076</v>
      </c>
      <c r="O27" s="22" t="s">
        <v>43</v>
      </c>
      <c r="P27" s="23" t="s">
        <v>1077</v>
      </c>
      <c r="Q27" s="22" t="s">
        <v>43</v>
      </c>
      <c r="R27" s="22" t="s">
        <v>968</v>
      </c>
      <c r="S27" s="24"/>
    </row>
    <row r="28" customFormat="false" ht="15" hidden="false" customHeight="false" outlineLevel="0" collapsed="false">
      <c r="A28" s="16" t="s">
        <v>258</v>
      </c>
      <c r="B28" s="14" t="s">
        <v>1078</v>
      </c>
      <c r="C28" s="22" t="s">
        <v>43</v>
      </c>
      <c r="D28" s="22" t="s">
        <v>43</v>
      </c>
      <c r="E28" s="23" t="s">
        <v>1079</v>
      </c>
      <c r="F28" s="22" t="s">
        <v>43</v>
      </c>
      <c r="G28" s="23" t="s">
        <v>1080</v>
      </c>
      <c r="H28" s="22" t="s">
        <v>43</v>
      </c>
      <c r="I28" s="22" t="s">
        <v>43</v>
      </c>
      <c r="J28" s="23" t="s">
        <v>1021</v>
      </c>
      <c r="K28" s="22" t="s">
        <v>43</v>
      </c>
      <c r="L28" s="23" t="s">
        <v>1081</v>
      </c>
      <c r="M28" s="22" t="s">
        <v>43</v>
      </c>
      <c r="N28" s="22" t="s">
        <v>43</v>
      </c>
      <c r="O28" s="22" t="s">
        <v>43</v>
      </c>
      <c r="P28" s="23" t="s">
        <v>1082</v>
      </c>
      <c r="Q28" s="22" t="s">
        <v>43</v>
      </c>
      <c r="R28" s="22" t="s">
        <v>968</v>
      </c>
      <c r="S28" s="24"/>
    </row>
    <row r="29" customFormat="false" ht="15" hidden="false" customHeight="false" outlineLevel="0" collapsed="false">
      <c r="A29" s="16" t="s">
        <v>258</v>
      </c>
      <c r="B29" s="14" t="s">
        <v>1083</v>
      </c>
      <c r="C29" s="22" t="s">
        <v>43</v>
      </c>
      <c r="D29" s="22" t="s">
        <v>43</v>
      </c>
      <c r="E29" s="23" t="s">
        <v>1084</v>
      </c>
      <c r="F29" s="22" t="s">
        <v>43</v>
      </c>
      <c r="G29" s="23" t="s">
        <v>1085</v>
      </c>
      <c r="H29" s="22" t="s">
        <v>43</v>
      </c>
      <c r="I29" s="22" t="s">
        <v>43</v>
      </c>
      <c r="J29" s="23" t="s">
        <v>1025</v>
      </c>
      <c r="K29" s="22" t="s">
        <v>43</v>
      </c>
      <c r="L29" s="22" t="s">
        <v>43</v>
      </c>
      <c r="M29" s="22" t="s">
        <v>43</v>
      </c>
      <c r="N29" s="22" t="s">
        <v>43</v>
      </c>
      <c r="O29" s="23" t="s">
        <v>1086</v>
      </c>
      <c r="P29" s="23" t="s">
        <v>1087</v>
      </c>
      <c r="Q29" s="22" t="s">
        <v>43</v>
      </c>
      <c r="R29" s="22" t="s">
        <v>968</v>
      </c>
      <c r="S29" s="24"/>
    </row>
    <row r="30" customFormat="false" ht="15" hidden="false" customHeight="false" outlineLevel="0" collapsed="false">
      <c r="A30" s="16" t="s">
        <v>258</v>
      </c>
      <c r="B30" s="14" t="s">
        <v>1088</v>
      </c>
      <c r="C30" s="22" t="s">
        <v>43</v>
      </c>
      <c r="D30" s="22" t="s">
        <v>43</v>
      </c>
      <c r="E30" s="23" t="s">
        <v>1089</v>
      </c>
      <c r="F30" s="23" t="s">
        <v>1090</v>
      </c>
      <c r="G30" s="23" t="s">
        <v>1080</v>
      </c>
      <c r="H30" s="22" t="s">
        <v>43</v>
      </c>
      <c r="I30" s="22" t="s">
        <v>43</v>
      </c>
      <c r="J30" s="22" t="s">
        <v>43</v>
      </c>
      <c r="K30" s="22" t="s">
        <v>43</v>
      </c>
      <c r="L30" s="23" t="s">
        <v>1031</v>
      </c>
      <c r="M30" s="22" t="s">
        <v>43</v>
      </c>
      <c r="N30" s="23" t="s">
        <v>1091</v>
      </c>
      <c r="O30" s="23" t="s">
        <v>1092</v>
      </c>
      <c r="P30" s="23" t="s">
        <v>1093</v>
      </c>
      <c r="Q30" s="22" t="s">
        <v>43</v>
      </c>
      <c r="R30" s="22" t="s">
        <v>968</v>
      </c>
      <c r="S30" s="24"/>
    </row>
    <row r="31" customFormat="false" ht="15" hidden="false" customHeight="false" outlineLevel="0" collapsed="false">
      <c r="A31" s="16" t="s">
        <v>258</v>
      </c>
      <c r="B31" s="14" t="s">
        <v>1094</v>
      </c>
      <c r="C31" s="22" t="s">
        <v>43</v>
      </c>
      <c r="D31" s="22" t="s">
        <v>43</v>
      </c>
      <c r="E31" s="23" t="s">
        <v>1095</v>
      </c>
      <c r="F31" s="23" t="s">
        <v>1096</v>
      </c>
      <c r="G31" s="23" t="s">
        <v>1085</v>
      </c>
      <c r="H31" s="23" t="s">
        <v>1097</v>
      </c>
      <c r="I31" s="22" t="s">
        <v>43</v>
      </c>
      <c r="J31" s="22" t="s">
        <v>43</v>
      </c>
      <c r="K31" s="22" t="s">
        <v>43</v>
      </c>
      <c r="L31" s="23" t="s">
        <v>1036</v>
      </c>
      <c r="M31" s="22" t="s">
        <v>43</v>
      </c>
      <c r="N31" s="22" t="s">
        <v>43</v>
      </c>
      <c r="O31" s="23" t="s">
        <v>1098</v>
      </c>
      <c r="P31" s="23" t="s">
        <v>1099</v>
      </c>
      <c r="Q31" s="22" t="s">
        <v>43</v>
      </c>
      <c r="R31" s="22" t="s">
        <v>968</v>
      </c>
      <c r="S31" s="24"/>
    </row>
    <row r="32" customFormat="false" ht="15" hidden="false" customHeight="false" outlineLevel="0" collapsed="false">
      <c r="A32" s="16" t="s">
        <v>258</v>
      </c>
      <c r="B32" s="14" t="s">
        <v>1100</v>
      </c>
      <c r="C32" s="22" t="s">
        <v>43</v>
      </c>
      <c r="D32" s="23" t="s">
        <v>977</v>
      </c>
      <c r="E32" s="22" t="s">
        <v>43</v>
      </c>
      <c r="F32" s="22" t="s">
        <v>43</v>
      </c>
      <c r="G32" s="23" t="s">
        <v>1101</v>
      </c>
      <c r="H32" s="23" t="s">
        <v>1102</v>
      </c>
      <c r="I32" s="22" t="s">
        <v>43</v>
      </c>
      <c r="J32" s="23" t="s">
        <v>1103</v>
      </c>
      <c r="K32" s="22" t="s">
        <v>43</v>
      </c>
      <c r="L32" s="22" t="s">
        <v>43</v>
      </c>
      <c r="M32" s="23" t="s">
        <v>1104</v>
      </c>
      <c r="N32" s="23" t="s">
        <v>1105</v>
      </c>
      <c r="O32" s="22" t="s">
        <v>43</v>
      </c>
      <c r="P32" s="22" t="s">
        <v>43</v>
      </c>
      <c r="Q32" s="22" t="s">
        <v>43</v>
      </c>
      <c r="R32" s="22" t="s">
        <v>968</v>
      </c>
      <c r="S32" s="24"/>
    </row>
    <row r="33" customFormat="false" ht="15" hidden="false" customHeight="false" outlineLevel="0" collapsed="false">
      <c r="A33" s="16" t="s">
        <v>258</v>
      </c>
      <c r="B33" s="14" t="s">
        <v>1106</v>
      </c>
      <c r="C33" s="22" t="s">
        <v>43</v>
      </c>
      <c r="D33" s="23" t="s">
        <v>983</v>
      </c>
      <c r="E33" s="22" t="s">
        <v>43</v>
      </c>
      <c r="F33" s="22" t="s">
        <v>43</v>
      </c>
      <c r="G33" s="23" t="s">
        <v>1107</v>
      </c>
      <c r="H33" s="22" t="s">
        <v>43</v>
      </c>
      <c r="I33" s="22" t="s">
        <v>43</v>
      </c>
      <c r="J33" s="23" t="s">
        <v>1108</v>
      </c>
      <c r="K33" s="22" t="s">
        <v>43</v>
      </c>
      <c r="L33" s="22" t="s">
        <v>43</v>
      </c>
      <c r="M33" s="23" t="s">
        <v>1109</v>
      </c>
      <c r="N33" s="23" t="s">
        <v>1110</v>
      </c>
      <c r="O33" s="22" t="s">
        <v>43</v>
      </c>
      <c r="P33" s="22" t="s">
        <v>43</v>
      </c>
      <c r="Q33" s="22" t="s">
        <v>43</v>
      </c>
      <c r="R33" s="22" t="s">
        <v>968</v>
      </c>
      <c r="S33" s="24"/>
    </row>
    <row r="34" customFormat="false" ht="15" hidden="false" customHeight="false" outlineLevel="0" collapsed="false">
      <c r="A34" s="16" t="s">
        <v>258</v>
      </c>
      <c r="B34" s="14" t="s">
        <v>1111</v>
      </c>
      <c r="C34" s="22" t="s">
        <v>43</v>
      </c>
      <c r="D34" s="23" t="s">
        <v>1000</v>
      </c>
      <c r="E34" s="22" t="s">
        <v>43</v>
      </c>
      <c r="F34" s="22" t="s">
        <v>43</v>
      </c>
      <c r="G34" s="23" t="s">
        <v>1112</v>
      </c>
      <c r="H34" s="23" t="s">
        <v>1097</v>
      </c>
      <c r="I34" s="22" t="s">
        <v>43</v>
      </c>
      <c r="J34" s="23" t="s">
        <v>1113</v>
      </c>
      <c r="K34" s="22" t="s">
        <v>43</v>
      </c>
      <c r="L34" s="23" t="s">
        <v>1074</v>
      </c>
      <c r="M34" s="23" t="s">
        <v>1114</v>
      </c>
      <c r="N34" s="23" t="s">
        <v>1115</v>
      </c>
      <c r="O34" s="23" t="s">
        <v>1116</v>
      </c>
      <c r="P34" s="22" t="s">
        <v>43</v>
      </c>
      <c r="Q34" s="22" t="s">
        <v>43</v>
      </c>
      <c r="R34" s="22" t="s">
        <v>968</v>
      </c>
      <c r="S34" s="24"/>
    </row>
    <row r="35" customFormat="false" ht="15" hidden="false" customHeight="false" outlineLevel="0" collapsed="false">
      <c r="A35" s="16" t="s">
        <v>258</v>
      </c>
      <c r="B35" s="14" t="s">
        <v>1117</v>
      </c>
      <c r="C35" s="22" t="s">
        <v>43</v>
      </c>
      <c r="D35" s="23" t="s">
        <v>1007</v>
      </c>
      <c r="E35" s="22" t="s">
        <v>43</v>
      </c>
      <c r="F35" s="22" t="s">
        <v>43</v>
      </c>
      <c r="G35" s="22" t="s">
        <v>43</v>
      </c>
      <c r="H35" s="23" t="s">
        <v>1102</v>
      </c>
      <c r="I35" s="22" t="s">
        <v>43</v>
      </c>
      <c r="J35" s="23" t="s">
        <v>1118</v>
      </c>
      <c r="K35" s="22" t="s">
        <v>43</v>
      </c>
      <c r="L35" s="23" t="s">
        <v>1081</v>
      </c>
      <c r="M35" s="23" t="s">
        <v>1119</v>
      </c>
      <c r="N35" s="23" t="s">
        <v>1120</v>
      </c>
      <c r="O35" s="22" t="s">
        <v>43</v>
      </c>
      <c r="P35" s="22" t="s">
        <v>43</v>
      </c>
      <c r="Q35" s="22" t="s">
        <v>43</v>
      </c>
      <c r="R35" s="22" t="s">
        <v>968</v>
      </c>
      <c r="S35" s="24"/>
    </row>
    <row r="36" customFormat="false" ht="15" hidden="false" customHeight="false" outlineLevel="0" collapsed="false">
      <c r="A36" s="16" t="s">
        <v>258</v>
      </c>
      <c r="B36" s="14" t="s">
        <v>1121</v>
      </c>
      <c r="C36" s="22" t="s">
        <v>43</v>
      </c>
      <c r="D36" s="23" t="s">
        <v>1049</v>
      </c>
      <c r="E36" s="22" t="s">
        <v>43</v>
      </c>
      <c r="F36" s="23" t="s">
        <v>1051</v>
      </c>
      <c r="G36" s="22" t="s">
        <v>43</v>
      </c>
      <c r="H36" s="23" t="s">
        <v>1122</v>
      </c>
      <c r="I36" s="23" t="s">
        <v>1123</v>
      </c>
      <c r="J36" s="23" t="s">
        <v>1124</v>
      </c>
      <c r="K36" s="22" t="s">
        <v>43</v>
      </c>
      <c r="L36" s="23" t="s">
        <v>1125</v>
      </c>
      <c r="M36" s="22" t="s">
        <v>43</v>
      </c>
      <c r="N36" s="22" t="s">
        <v>43</v>
      </c>
      <c r="O36" s="23" t="s">
        <v>1126</v>
      </c>
      <c r="P36" s="22" t="s">
        <v>43</v>
      </c>
      <c r="Q36" s="22" t="s">
        <v>43</v>
      </c>
      <c r="R36" s="22" t="s">
        <v>968</v>
      </c>
      <c r="S36" s="24"/>
    </row>
    <row r="37" customFormat="false" ht="15" hidden="false" customHeight="false" outlineLevel="0" collapsed="false">
      <c r="A37" s="16" t="s">
        <v>258</v>
      </c>
      <c r="B37" s="14" t="s">
        <v>1127</v>
      </c>
      <c r="C37" s="23" t="s">
        <v>1128</v>
      </c>
      <c r="D37" s="23" t="s">
        <v>1055</v>
      </c>
      <c r="E37" s="22" t="s">
        <v>43</v>
      </c>
      <c r="F37" s="23" t="s">
        <v>1057</v>
      </c>
      <c r="G37" s="22" t="s">
        <v>43</v>
      </c>
      <c r="H37" s="23" t="s">
        <v>1129</v>
      </c>
      <c r="I37" s="22" t="s">
        <v>43</v>
      </c>
      <c r="J37" s="22" t="s">
        <v>43</v>
      </c>
      <c r="K37" s="22" t="s">
        <v>43</v>
      </c>
      <c r="L37" s="23" t="s">
        <v>1130</v>
      </c>
      <c r="M37" s="22" t="s">
        <v>43</v>
      </c>
      <c r="N37" s="22" t="s">
        <v>43</v>
      </c>
      <c r="O37" s="23" t="s">
        <v>1131</v>
      </c>
      <c r="P37" s="22" t="s">
        <v>43</v>
      </c>
      <c r="Q37" s="22" t="s">
        <v>43</v>
      </c>
      <c r="R37" s="22" t="s">
        <v>968</v>
      </c>
      <c r="S37" s="24"/>
    </row>
    <row r="38" customFormat="false" ht="15" hidden="false" customHeight="false" outlineLevel="0" collapsed="false">
      <c r="A38" s="25" t="s">
        <v>253</v>
      </c>
      <c r="B38" s="26" t="s">
        <v>1132</v>
      </c>
      <c r="C38" s="27" t="s">
        <v>43</v>
      </c>
      <c r="D38" s="27" t="s">
        <v>43</v>
      </c>
      <c r="E38" s="27" t="s">
        <v>43</v>
      </c>
      <c r="F38" s="27" t="s">
        <v>43</v>
      </c>
      <c r="G38" s="27" t="s">
        <v>43</v>
      </c>
      <c r="H38" s="27" t="s">
        <v>43</v>
      </c>
      <c r="I38" s="27" t="s">
        <v>43</v>
      </c>
      <c r="J38" s="27" t="s">
        <v>43</v>
      </c>
      <c r="K38" s="27" t="s">
        <v>43</v>
      </c>
      <c r="L38" s="27" t="s">
        <v>43</v>
      </c>
      <c r="M38" s="28" t="s">
        <v>1133</v>
      </c>
      <c r="N38" s="27" t="s">
        <v>43</v>
      </c>
      <c r="O38" s="27" t="s">
        <v>43</v>
      </c>
      <c r="P38" s="27" t="s">
        <v>43</v>
      </c>
      <c r="Q38" s="27" t="s">
        <v>43</v>
      </c>
      <c r="R38" s="27" t="s">
        <v>968</v>
      </c>
      <c r="S38" s="29"/>
    </row>
    <row r="39" customFormat="false" ht="15" hidden="false" customHeight="false" outlineLevel="0" collapsed="false">
      <c r="A39" s="16" t="s">
        <v>253</v>
      </c>
      <c r="B39" s="14" t="s">
        <v>1134</v>
      </c>
      <c r="C39" s="22" t="s">
        <v>43</v>
      </c>
      <c r="D39" s="22" t="s">
        <v>43</v>
      </c>
      <c r="E39" s="22" t="s">
        <v>43</v>
      </c>
      <c r="F39" s="22" t="s">
        <v>43</v>
      </c>
      <c r="G39" s="22" t="s">
        <v>43</v>
      </c>
      <c r="H39" s="22" t="s">
        <v>43</v>
      </c>
      <c r="I39" s="22" t="s">
        <v>43</v>
      </c>
      <c r="J39" s="22" t="s">
        <v>43</v>
      </c>
      <c r="K39" s="22" t="s">
        <v>43</v>
      </c>
      <c r="L39" s="22" t="s">
        <v>43</v>
      </c>
      <c r="M39" s="22" t="s">
        <v>43</v>
      </c>
      <c r="N39" s="23" t="s">
        <v>1135</v>
      </c>
      <c r="O39" s="22" t="s">
        <v>43</v>
      </c>
      <c r="P39" s="22" t="s">
        <v>43</v>
      </c>
      <c r="Q39" s="22" t="s">
        <v>43</v>
      </c>
      <c r="R39" s="22" t="s">
        <v>968</v>
      </c>
      <c r="S39" s="24"/>
    </row>
    <row r="40" customFormat="false" ht="15" hidden="false" customHeight="false" outlineLevel="0" collapsed="false">
      <c r="A40" s="16" t="s">
        <v>253</v>
      </c>
      <c r="B40" s="14" t="s">
        <v>1136</v>
      </c>
      <c r="C40" s="22" t="s">
        <v>43</v>
      </c>
      <c r="D40" s="22" t="s">
        <v>43</v>
      </c>
      <c r="E40" s="22" t="s">
        <v>43</v>
      </c>
      <c r="F40" s="22" t="s">
        <v>43</v>
      </c>
      <c r="G40" s="22" t="s">
        <v>43</v>
      </c>
      <c r="H40" s="23" t="s">
        <v>1122</v>
      </c>
      <c r="I40" s="23" t="s">
        <v>1123</v>
      </c>
      <c r="J40" s="22" t="s">
        <v>43</v>
      </c>
      <c r="K40" s="22" t="s">
        <v>43</v>
      </c>
      <c r="L40" s="22" t="s">
        <v>43</v>
      </c>
      <c r="M40" s="23" t="s">
        <v>1137</v>
      </c>
      <c r="N40" s="23" t="s">
        <v>1138</v>
      </c>
      <c r="O40" s="22" t="s">
        <v>43</v>
      </c>
      <c r="P40" s="22" t="s">
        <v>43</v>
      </c>
      <c r="Q40" s="22" t="s">
        <v>43</v>
      </c>
      <c r="R40" s="22" t="s">
        <v>968</v>
      </c>
      <c r="S40" s="24"/>
    </row>
    <row r="41" customFormat="false" ht="15" hidden="false" customHeight="false" outlineLevel="0" collapsed="false">
      <c r="A41" s="16" t="s">
        <v>253</v>
      </c>
      <c r="B41" s="14" t="s">
        <v>1139</v>
      </c>
      <c r="C41" s="22" t="s">
        <v>43</v>
      </c>
      <c r="D41" s="22" t="s">
        <v>43</v>
      </c>
      <c r="E41" s="22" t="s">
        <v>43</v>
      </c>
      <c r="F41" s="22" t="s">
        <v>43</v>
      </c>
      <c r="G41" s="22" t="s">
        <v>43</v>
      </c>
      <c r="H41" s="23" t="s">
        <v>1129</v>
      </c>
      <c r="I41" s="22" t="s">
        <v>43</v>
      </c>
      <c r="J41" s="22" t="s">
        <v>43</v>
      </c>
      <c r="K41" s="22" t="s">
        <v>43</v>
      </c>
      <c r="L41" s="22" t="s">
        <v>43</v>
      </c>
      <c r="M41" s="23" t="s">
        <v>1140</v>
      </c>
      <c r="N41" s="23" t="s">
        <v>1141</v>
      </c>
      <c r="O41" s="22" t="s">
        <v>43</v>
      </c>
      <c r="P41" s="22" t="s">
        <v>43</v>
      </c>
      <c r="Q41" s="22" t="s">
        <v>43</v>
      </c>
      <c r="R41" s="22" t="s">
        <v>968</v>
      </c>
      <c r="S41" s="24"/>
    </row>
    <row r="42" customFormat="false" ht="15" hidden="false" customHeight="false" outlineLevel="0" collapsed="false">
      <c r="A42" s="16" t="s">
        <v>253</v>
      </c>
      <c r="B42" s="14" t="s">
        <v>1142</v>
      </c>
      <c r="C42" s="22" t="s">
        <v>43</v>
      </c>
      <c r="D42" s="22" t="s">
        <v>43</v>
      </c>
      <c r="E42" s="22" t="s">
        <v>43</v>
      </c>
      <c r="F42" s="22" t="s">
        <v>43</v>
      </c>
      <c r="G42" s="22" t="s">
        <v>43</v>
      </c>
      <c r="H42" s="22" t="s">
        <v>43</v>
      </c>
      <c r="I42" s="22" t="s">
        <v>43</v>
      </c>
      <c r="J42" s="22" t="s">
        <v>43</v>
      </c>
      <c r="K42" s="22" t="s">
        <v>43</v>
      </c>
      <c r="L42" s="22" t="s">
        <v>43</v>
      </c>
      <c r="M42" s="22" t="s">
        <v>43</v>
      </c>
      <c r="N42" s="23" t="s">
        <v>1143</v>
      </c>
      <c r="O42" s="22" t="s">
        <v>43</v>
      </c>
      <c r="P42" s="22" t="s">
        <v>43</v>
      </c>
      <c r="Q42" s="22" t="s">
        <v>43</v>
      </c>
      <c r="R42" s="22" t="s">
        <v>968</v>
      </c>
      <c r="S42" s="24"/>
    </row>
    <row r="43" customFormat="false" ht="15" hidden="false" customHeight="false" outlineLevel="0" collapsed="false">
      <c r="A43" s="16" t="s">
        <v>253</v>
      </c>
      <c r="B43" s="14" t="s">
        <v>1144</v>
      </c>
      <c r="C43" s="22" t="s">
        <v>43</v>
      </c>
      <c r="D43" s="22" t="s">
        <v>43</v>
      </c>
      <c r="E43" s="22" t="s">
        <v>43</v>
      </c>
      <c r="F43" s="22" t="s">
        <v>43</v>
      </c>
      <c r="G43" s="22" t="s">
        <v>43</v>
      </c>
      <c r="H43" s="22" t="s">
        <v>43</v>
      </c>
      <c r="I43" s="22" t="s">
        <v>43</v>
      </c>
      <c r="J43" s="22" t="s">
        <v>43</v>
      </c>
      <c r="K43" s="22" t="s">
        <v>43</v>
      </c>
      <c r="L43" s="22" t="s">
        <v>43</v>
      </c>
      <c r="M43" s="22" t="s">
        <v>43</v>
      </c>
      <c r="N43" s="23" t="s">
        <v>1145</v>
      </c>
      <c r="O43" s="22" t="s">
        <v>43</v>
      </c>
      <c r="P43" s="22" t="s">
        <v>43</v>
      </c>
      <c r="Q43" s="22" t="s">
        <v>43</v>
      </c>
      <c r="R43" s="22" t="s">
        <v>968</v>
      </c>
      <c r="S43" s="24"/>
    </row>
    <row r="44" customFormat="false" ht="15" hidden="false" customHeight="false" outlineLevel="0" collapsed="false">
      <c r="A44" s="16" t="s">
        <v>253</v>
      </c>
      <c r="B44" s="14" t="s">
        <v>1146</v>
      </c>
      <c r="C44" s="22" t="s">
        <v>43</v>
      </c>
      <c r="D44" s="22" t="s">
        <v>43</v>
      </c>
      <c r="E44" s="23" t="s">
        <v>1001</v>
      </c>
      <c r="F44" s="23" t="s">
        <v>1147</v>
      </c>
      <c r="G44" s="22" t="s">
        <v>43</v>
      </c>
      <c r="H44" s="23" t="s">
        <v>1148</v>
      </c>
      <c r="I44" s="22" t="s">
        <v>43</v>
      </c>
      <c r="J44" s="22" t="s">
        <v>43</v>
      </c>
      <c r="K44" s="23" t="s">
        <v>1149</v>
      </c>
      <c r="L44" s="22" t="s">
        <v>43</v>
      </c>
      <c r="M44" s="22" t="s">
        <v>43</v>
      </c>
      <c r="N44" s="22" t="s">
        <v>43</v>
      </c>
      <c r="O44" s="23" t="s">
        <v>1150</v>
      </c>
      <c r="P44" s="23" t="s">
        <v>1022</v>
      </c>
      <c r="Q44" s="22" t="s">
        <v>43</v>
      </c>
      <c r="R44" s="22" t="s">
        <v>968</v>
      </c>
      <c r="S44" s="24"/>
    </row>
    <row r="45" customFormat="false" ht="15" hidden="false" customHeight="false" outlineLevel="0" collapsed="false">
      <c r="A45" s="16" t="s">
        <v>253</v>
      </c>
      <c r="B45" s="14" t="s">
        <v>1151</v>
      </c>
      <c r="C45" s="22" t="s">
        <v>43</v>
      </c>
      <c r="D45" s="22" t="s">
        <v>43</v>
      </c>
      <c r="E45" s="23" t="s">
        <v>1008</v>
      </c>
      <c r="F45" s="23" t="s">
        <v>1152</v>
      </c>
      <c r="G45" s="22" t="s">
        <v>43</v>
      </c>
      <c r="H45" s="22" t="s">
        <v>43</v>
      </c>
      <c r="I45" s="23" t="s">
        <v>1153</v>
      </c>
      <c r="J45" s="22" t="s">
        <v>43</v>
      </c>
      <c r="K45" s="23" t="s">
        <v>1154</v>
      </c>
      <c r="L45" s="22" t="s">
        <v>43</v>
      </c>
      <c r="M45" s="22" t="s">
        <v>43</v>
      </c>
      <c r="N45" s="22" t="s">
        <v>43</v>
      </c>
      <c r="O45" s="23" t="s">
        <v>1155</v>
      </c>
      <c r="P45" s="23" t="s">
        <v>1027</v>
      </c>
      <c r="Q45" s="22" t="s">
        <v>43</v>
      </c>
      <c r="R45" s="22" t="s">
        <v>968</v>
      </c>
      <c r="S45" s="24"/>
    </row>
    <row r="46" customFormat="false" ht="15" hidden="false" customHeight="false" outlineLevel="0" collapsed="false">
      <c r="A46" s="16" t="s">
        <v>253</v>
      </c>
      <c r="B46" s="14" t="s">
        <v>1156</v>
      </c>
      <c r="C46" s="22" t="s">
        <v>43</v>
      </c>
      <c r="D46" s="22" t="s">
        <v>43</v>
      </c>
      <c r="E46" s="23" t="s">
        <v>1050</v>
      </c>
      <c r="F46" s="23" t="s">
        <v>1157</v>
      </c>
      <c r="G46" s="22" t="s">
        <v>43</v>
      </c>
      <c r="H46" s="22" t="s">
        <v>43</v>
      </c>
      <c r="I46" s="22" t="s">
        <v>43</v>
      </c>
      <c r="J46" s="22" t="s">
        <v>43</v>
      </c>
      <c r="K46" s="23" t="s">
        <v>1158</v>
      </c>
      <c r="L46" s="22" t="s">
        <v>43</v>
      </c>
      <c r="M46" s="22" t="s">
        <v>43</v>
      </c>
      <c r="N46" s="22" t="s">
        <v>43</v>
      </c>
      <c r="O46" s="23" t="s">
        <v>1159</v>
      </c>
      <c r="P46" s="23" t="s">
        <v>1160</v>
      </c>
      <c r="Q46" s="22" t="s">
        <v>43</v>
      </c>
      <c r="R46" s="22" t="s">
        <v>968</v>
      </c>
      <c r="S46" s="24"/>
    </row>
    <row r="47" customFormat="false" ht="15" hidden="false" customHeight="false" outlineLevel="0" collapsed="false">
      <c r="A47" s="16" t="s">
        <v>253</v>
      </c>
      <c r="B47" s="14" t="s">
        <v>1161</v>
      </c>
      <c r="C47" s="23" t="s">
        <v>1162</v>
      </c>
      <c r="D47" s="22" t="s">
        <v>43</v>
      </c>
      <c r="E47" s="23" t="s">
        <v>1056</v>
      </c>
      <c r="F47" s="23" t="s">
        <v>1163</v>
      </c>
      <c r="G47" s="23" t="s">
        <v>1164</v>
      </c>
      <c r="H47" s="23" t="s">
        <v>1165</v>
      </c>
      <c r="I47" s="22" t="s">
        <v>43</v>
      </c>
      <c r="J47" s="22" t="s">
        <v>43</v>
      </c>
      <c r="K47" s="22" t="s">
        <v>43</v>
      </c>
      <c r="L47" s="22" t="s">
        <v>43</v>
      </c>
      <c r="M47" s="22" t="s">
        <v>43</v>
      </c>
      <c r="N47" s="22" t="s">
        <v>43</v>
      </c>
      <c r="O47" s="23" t="s">
        <v>1166</v>
      </c>
      <c r="P47" s="23" t="s">
        <v>1167</v>
      </c>
      <c r="Q47" s="22" t="s">
        <v>43</v>
      </c>
      <c r="R47" s="22" t="s">
        <v>968</v>
      </c>
      <c r="S47" s="24"/>
    </row>
    <row r="48" customFormat="false" ht="15" hidden="false" customHeight="false" outlineLevel="0" collapsed="false">
      <c r="A48" s="16" t="s">
        <v>253</v>
      </c>
      <c r="B48" s="14" t="s">
        <v>1168</v>
      </c>
      <c r="C48" s="22" t="s">
        <v>43</v>
      </c>
      <c r="D48" s="22" t="s">
        <v>43</v>
      </c>
      <c r="E48" s="22" t="s">
        <v>43</v>
      </c>
      <c r="F48" s="22" t="s">
        <v>43</v>
      </c>
      <c r="G48" s="22" t="s">
        <v>43</v>
      </c>
      <c r="H48" s="22" t="s">
        <v>43</v>
      </c>
      <c r="I48" s="23" t="s">
        <v>1064</v>
      </c>
      <c r="J48" s="23" t="s">
        <v>1103</v>
      </c>
      <c r="K48" s="23" t="s">
        <v>966</v>
      </c>
      <c r="L48" s="22" t="s">
        <v>43</v>
      </c>
      <c r="M48" s="22" t="s">
        <v>43</v>
      </c>
      <c r="N48" s="22" t="s">
        <v>43</v>
      </c>
      <c r="O48" s="23" t="s">
        <v>1169</v>
      </c>
      <c r="P48" s="23" t="s">
        <v>1170</v>
      </c>
      <c r="Q48" s="22" t="s">
        <v>43</v>
      </c>
      <c r="R48" s="22" t="s">
        <v>968</v>
      </c>
      <c r="S48" s="24"/>
    </row>
    <row r="49" customFormat="false" ht="15" hidden="false" customHeight="false" outlineLevel="0" collapsed="false">
      <c r="A49" s="16" t="s">
        <v>253</v>
      </c>
      <c r="B49" s="14" t="s">
        <v>1171</v>
      </c>
      <c r="C49" s="22" t="s">
        <v>43</v>
      </c>
      <c r="D49" s="22" t="s">
        <v>43</v>
      </c>
      <c r="E49" s="22" t="s">
        <v>43</v>
      </c>
      <c r="F49" s="22" t="s">
        <v>43</v>
      </c>
      <c r="G49" s="22" t="s">
        <v>43</v>
      </c>
      <c r="H49" s="23" t="s">
        <v>1069</v>
      </c>
      <c r="I49" s="23" t="s">
        <v>1068</v>
      </c>
      <c r="J49" s="23" t="s">
        <v>1108</v>
      </c>
      <c r="K49" s="23" t="s">
        <v>974</v>
      </c>
      <c r="L49" s="22" t="s">
        <v>43</v>
      </c>
      <c r="M49" s="22" t="s">
        <v>43</v>
      </c>
      <c r="N49" s="22" t="s">
        <v>43</v>
      </c>
      <c r="O49" s="23" t="s">
        <v>1172</v>
      </c>
      <c r="P49" s="23" t="s">
        <v>1173</v>
      </c>
      <c r="Q49" s="22" t="s">
        <v>43</v>
      </c>
      <c r="R49" s="22" t="s">
        <v>968</v>
      </c>
      <c r="S49" s="24"/>
    </row>
    <row r="50" customFormat="false" ht="15" hidden="false" customHeight="false" outlineLevel="0" collapsed="false">
      <c r="A50" s="16" t="s">
        <v>253</v>
      </c>
      <c r="B50" s="14" t="s">
        <v>1174</v>
      </c>
      <c r="C50" s="22" t="s">
        <v>43</v>
      </c>
      <c r="D50" s="22" t="s">
        <v>43</v>
      </c>
      <c r="E50" s="22" t="s">
        <v>43</v>
      </c>
      <c r="F50" s="22" t="s">
        <v>43</v>
      </c>
      <c r="G50" s="22" t="s">
        <v>43</v>
      </c>
      <c r="H50" s="22" t="s">
        <v>43</v>
      </c>
      <c r="I50" s="23" t="s">
        <v>1073</v>
      </c>
      <c r="J50" s="23" t="s">
        <v>1113</v>
      </c>
      <c r="K50" s="23" t="s">
        <v>1175</v>
      </c>
      <c r="L50" s="22" t="s">
        <v>43</v>
      </c>
      <c r="M50" s="22" t="s">
        <v>43</v>
      </c>
      <c r="N50" s="22" t="s">
        <v>43</v>
      </c>
      <c r="O50" s="23" t="s">
        <v>1176</v>
      </c>
      <c r="P50" s="23" t="s">
        <v>1177</v>
      </c>
      <c r="Q50" s="22" t="s">
        <v>43</v>
      </c>
      <c r="R50" s="22" t="s">
        <v>968</v>
      </c>
      <c r="S50" s="24"/>
    </row>
    <row r="51" customFormat="false" ht="15" hidden="false" customHeight="false" outlineLevel="0" collapsed="false">
      <c r="A51" s="16" t="s">
        <v>253</v>
      </c>
      <c r="B51" s="14" t="s">
        <v>1178</v>
      </c>
      <c r="C51" s="22" t="s">
        <v>43</v>
      </c>
      <c r="D51" s="22" t="s">
        <v>43</v>
      </c>
      <c r="E51" s="22" t="s">
        <v>43</v>
      </c>
      <c r="F51" s="22" t="s">
        <v>43</v>
      </c>
      <c r="G51" s="22" t="s">
        <v>43</v>
      </c>
      <c r="H51" s="22" t="s">
        <v>43</v>
      </c>
      <c r="I51" s="22" t="s">
        <v>43</v>
      </c>
      <c r="J51" s="22" t="s">
        <v>43</v>
      </c>
      <c r="K51" s="22" t="s">
        <v>43</v>
      </c>
      <c r="L51" s="22" t="s">
        <v>43</v>
      </c>
      <c r="M51" s="22" t="s">
        <v>43</v>
      </c>
      <c r="N51" s="22" t="s">
        <v>43</v>
      </c>
      <c r="O51" s="22" t="s">
        <v>43</v>
      </c>
      <c r="P51" s="22" t="s">
        <v>43</v>
      </c>
      <c r="Q51" s="22" t="s">
        <v>43</v>
      </c>
      <c r="R51" s="22" t="s">
        <v>43</v>
      </c>
      <c r="S51" s="24" t="s">
        <v>1179</v>
      </c>
    </row>
    <row r="52" customFormat="false" ht="15" hidden="false" customHeight="false" outlineLevel="0" collapsed="false">
      <c r="A52" s="16" t="s">
        <v>253</v>
      </c>
      <c r="B52" s="14" t="s">
        <v>1180</v>
      </c>
      <c r="C52" s="22" t="s">
        <v>43</v>
      </c>
      <c r="D52" s="22" t="s">
        <v>43</v>
      </c>
      <c r="E52" s="22" t="s">
        <v>43</v>
      </c>
      <c r="F52" s="22" t="s">
        <v>43</v>
      </c>
      <c r="G52" s="22" t="s">
        <v>43</v>
      </c>
      <c r="H52" s="22" t="s">
        <v>43</v>
      </c>
      <c r="I52" s="22" t="s">
        <v>43</v>
      </c>
      <c r="J52" s="22" t="s">
        <v>43</v>
      </c>
      <c r="K52" s="22" t="s">
        <v>43</v>
      </c>
      <c r="L52" s="22" t="s">
        <v>43</v>
      </c>
      <c r="M52" s="22" t="s">
        <v>43</v>
      </c>
      <c r="N52" s="22" t="s">
        <v>43</v>
      </c>
      <c r="O52" s="22" t="s">
        <v>43</v>
      </c>
      <c r="P52" s="22" t="s">
        <v>43</v>
      </c>
      <c r="Q52" s="22" t="s">
        <v>43</v>
      </c>
      <c r="R52" s="22" t="s">
        <v>43</v>
      </c>
      <c r="S52" s="24" t="s">
        <v>1181</v>
      </c>
    </row>
    <row r="53" customFormat="false" ht="15" hidden="false" customHeight="false" outlineLevel="0" collapsed="false">
      <c r="A53" s="16" t="s">
        <v>253</v>
      </c>
      <c r="B53" s="14" t="s">
        <v>1182</v>
      </c>
      <c r="C53" s="22" t="s">
        <v>43</v>
      </c>
      <c r="D53" s="22" t="s">
        <v>43</v>
      </c>
      <c r="E53" s="22" t="s">
        <v>43</v>
      </c>
      <c r="F53" s="22" t="s">
        <v>43</v>
      </c>
      <c r="G53" s="22" t="s">
        <v>43</v>
      </c>
      <c r="H53" s="22" t="s">
        <v>43</v>
      </c>
      <c r="I53" s="22" t="s">
        <v>43</v>
      </c>
      <c r="J53" s="22" t="s">
        <v>43</v>
      </c>
      <c r="K53" s="22" t="s">
        <v>43</v>
      </c>
      <c r="L53" s="22" t="s">
        <v>43</v>
      </c>
      <c r="M53" s="22" t="s">
        <v>43</v>
      </c>
      <c r="N53" s="22" t="s">
        <v>43</v>
      </c>
      <c r="O53" s="22" t="s">
        <v>43</v>
      </c>
      <c r="P53" s="22" t="s">
        <v>43</v>
      </c>
      <c r="Q53" s="22" t="s">
        <v>43</v>
      </c>
      <c r="R53" s="22" t="s">
        <v>43</v>
      </c>
      <c r="S53" s="24" t="s">
        <v>1181</v>
      </c>
    </row>
    <row r="54" customFormat="false" ht="15" hidden="false" customHeight="false" outlineLevel="0" collapsed="false">
      <c r="A54" s="25" t="s">
        <v>248</v>
      </c>
      <c r="B54" s="26" t="s">
        <v>1183</v>
      </c>
      <c r="C54" s="27" t="s">
        <v>43</v>
      </c>
      <c r="D54" s="27" t="s">
        <v>43</v>
      </c>
      <c r="E54" s="27" t="s">
        <v>43</v>
      </c>
      <c r="F54" s="27" t="s">
        <v>43</v>
      </c>
      <c r="G54" s="27" t="s">
        <v>43</v>
      </c>
      <c r="H54" s="27" t="s">
        <v>43</v>
      </c>
      <c r="I54" s="27" t="s">
        <v>43</v>
      </c>
      <c r="J54" s="27" t="s">
        <v>43</v>
      </c>
      <c r="K54" s="27" t="s">
        <v>43</v>
      </c>
      <c r="L54" s="28" t="s">
        <v>1031</v>
      </c>
      <c r="M54" s="27" t="s">
        <v>43</v>
      </c>
      <c r="N54" s="27" t="s">
        <v>43</v>
      </c>
      <c r="O54" s="28" t="s">
        <v>1184</v>
      </c>
      <c r="P54" s="27" t="s">
        <v>43</v>
      </c>
      <c r="Q54" s="27" t="s">
        <v>43</v>
      </c>
      <c r="R54" s="27" t="s">
        <v>968</v>
      </c>
      <c r="S54" s="29"/>
    </row>
    <row r="55" customFormat="false" ht="15" hidden="false" customHeight="false" outlineLevel="0" collapsed="false">
      <c r="A55" s="16" t="s">
        <v>248</v>
      </c>
      <c r="B55" s="14" t="s">
        <v>1185</v>
      </c>
      <c r="C55" s="22" t="s">
        <v>43</v>
      </c>
      <c r="D55" s="22" t="s">
        <v>43</v>
      </c>
      <c r="E55" s="22" t="s">
        <v>43</v>
      </c>
      <c r="F55" s="22" t="s">
        <v>43</v>
      </c>
      <c r="G55" s="22" t="s">
        <v>43</v>
      </c>
      <c r="H55" s="22" t="s">
        <v>43</v>
      </c>
      <c r="I55" s="22" t="s">
        <v>43</v>
      </c>
      <c r="J55" s="22" t="s">
        <v>43</v>
      </c>
      <c r="K55" s="22" t="s">
        <v>43</v>
      </c>
      <c r="L55" s="23" t="s">
        <v>1036</v>
      </c>
      <c r="M55" s="22" t="s">
        <v>43</v>
      </c>
      <c r="N55" s="22" t="s">
        <v>43</v>
      </c>
      <c r="O55" s="23" t="s">
        <v>1186</v>
      </c>
      <c r="P55" s="22" t="s">
        <v>43</v>
      </c>
      <c r="Q55" s="22" t="s">
        <v>43</v>
      </c>
      <c r="R55" s="22" t="s">
        <v>968</v>
      </c>
      <c r="S55" s="24"/>
    </row>
    <row r="56" customFormat="false" ht="15" hidden="false" customHeight="false" outlineLevel="0" collapsed="false">
      <c r="A56" s="16" t="s">
        <v>248</v>
      </c>
      <c r="B56" s="14" t="s">
        <v>1187</v>
      </c>
      <c r="C56" s="22" t="s">
        <v>43</v>
      </c>
      <c r="D56" s="22" t="s">
        <v>43</v>
      </c>
      <c r="E56" s="23" t="s">
        <v>1188</v>
      </c>
      <c r="F56" s="22" t="s">
        <v>43</v>
      </c>
      <c r="G56" s="22" t="s">
        <v>43</v>
      </c>
      <c r="H56" s="22" t="s">
        <v>43</v>
      </c>
      <c r="I56" s="22" t="s">
        <v>43</v>
      </c>
      <c r="J56" s="22" t="s">
        <v>43</v>
      </c>
      <c r="K56" s="23" t="s">
        <v>1189</v>
      </c>
      <c r="L56" s="22" t="s">
        <v>43</v>
      </c>
      <c r="M56" s="22" t="s">
        <v>43</v>
      </c>
      <c r="N56" s="22" t="s">
        <v>43</v>
      </c>
      <c r="O56" s="23" t="s">
        <v>1190</v>
      </c>
      <c r="P56" s="23" t="s">
        <v>1191</v>
      </c>
      <c r="Q56" s="22" t="s">
        <v>43</v>
      </c>
      <c r="R56" s="22" t="s">
        <v>968</v>
      </c>
      <c r="S56" s="24"/>
    </row>
    <row r="57" customFormat="false" ht="15" hidden="false" customHeight="false" outlineLevel="0" collapsed="false">
      <c r="A57" s="16" t="s">
        <v>248</v>
      </c>
      <c r="B57" s="14" t="s">
        <v>1192</v>
      </c>
      <c r="C57" s="22" t="s">
        <v>43</v>
      </c>
      <c r="D57" s="22" t="s">
        <v>43</v>
      </c>
      <c r="E57" s="22" t="s">
        <v>43</v>
      </c>
      <c r="F57" s="22" t="s">
        <v>43</v>
      </c>
      <c r="G57" s="22" t="s">
        <v>43</v>
      </c>
      <c r="H57" s="22" t="s">
        <v>43</v>
      </c>
      <c r="I57" s="22" t="s">
        <v>43</v>
      </c>
      <c r="J57" s="23" t="s">
        <v>965</v>
      </c>
      <c r="K57" s="22" t="s">
        <v>43</v>
      </c>
      <c r="L57" s="22" t="s">
        <v>43</v>
      </c>
      <c r="M57" s="22" t="s">
        <v>43</v>
      </c>
      <c r="N57" s="22" t="s">
        <v>43</v>
      </c>
      <c r="O57" s="23" t="s">
        <v>1193</v>
      </c>
      <c r="P57" s="22" t="s">
        <v>43</v>
      </c>
      <c r="Q57" s="22" t="s">
        <v>43</v>
      </c>
      <c r="R57" s="22" t="s">
        <v>968</v>
      </c>
      <c r="S57" s="24"/>
    </row>
    <row r="58" customFormat="false" ht="15" hidden="false" customHeight="false" outlineLevel="0" collapsed="false">
      <c r="A58" s="16" t="s">
        <v>248</v>
      </c>
      <c r="B58" s="14" t="s">
        <v>1194</v>
      </c>
      <c r="C58" s="22" t="s">
        <v>43</v>
      </c>
      <c r="D58" s="22" t="s">
        <v>43</v>
      </c>
      <c r="E58" s="22" t="s">
        <v>43</v>
      </c>
      <c r="F58" s="22" t="s">
        <v>43</v>
      </c>
      <c r="G58" s="22" t="s">
        <v>43</v>
      </c>
      <c r="H58" s="22" t="s">
        <v>43</v>
      </c>
      <c r="I58" s="22" t="s">
        <v>43</v>
      </c>
      <c r="J58" s="23" t="s">
        <v>973</v>
      </c>
      <c r="K58" s="22" t="s">
        <v>43</v>
      </c>
      <c r="L58" s="22" t="s">
        <v>43</v>
      </c>
      <c r="M58" s="22" t="s">
        <v>43</v>
      </c>
      <c r="N58" s="22" t="s">
        <v>43</v>
      </c>
      <c r="O58" s="23" t="s">
        <v>1195</v>
      </c>
      <c r="P58" s="22" t="s">
        <v>43</v>
      </c>
      <c r="Q58" s="22" t="s">
        <v>43</v>
      </c>
      <c r="R58" s="22" t="s">
        <v>968</v>
      </c>
      <c r="S58" s="24"/>
    </row>
    <row r="59" customFormat="false" ht="15" hidden="false" customHeight="false" outlineLevel="0" collapsed="false">
      <c r="A59" s="16" t="s">
        <v>248</v>
      </c>
      <c r="B59" s="14" t="s">
        <v>1196</v>
      </c>
      <c r="C59" s="22" t="s">
        <v>43</v>
      </c>
      <c r="D59" s="22" t="s">
        <v>43</v>
      </c>
      <c r="E59" s="22" t="s">
        <v>43</v>
      </c>
      <c r="F59" s="22" t="s">
        <v>43</v>
      </c>
      <c r="G59" s="22" t="s">
        <v>43</v>
      </c>
      <c r="H59" s="22" t="s">
        <v>43</v>
      </c>
      <c r="I59" s="22" t="s">
        <v>43</v>
      </c>
      <c r="J59" s="23" t="s">
        <v>980</v>
      </c>
      <c r="K59" s="22" t="s">
        <v>43</v>
      </c>
      <c r="L59" s="22" t="s">
        <v>43</v>
      </c>
      <c r="M59" s="22" t="s">
        <v>43</v>
      </c>
      <c r="N59" s="22" t="s">
        <v>43</v>
      </c>
      <c r="O59" s="23" t="s">
        <v>1197</v>
      </c>
      <c r="P59" s="22" t="s">
        <v>43</v>
      </c>
      <c r="Q59" s="22" t="s">
        <v>43</v>
      </c>
      <c r="R59" s="22" t="s">
        <v>968</v>
      </c>
      <c r="S59" s="24"/>
    </row>
    <row r="60" customFormat="false" ht="15" hidden="false" customHeight="false" outlineLevel="0" collapsed="false">
      <c r="A60" s="16" t="s">
        <v>248</v>
      </c>
      <c r="B60" s="14" t="s">
        <v>1198</v>
      </c>
      <c r="C60" s="22" t="s">
        <v>43</v>
      </c>
      <c r="D60" s="22" t="s">
        <v>43</v>
      </c>
      <c r="E60" s="22" t="s">
        <v>43</v>
      </c>
      <c r="F60" s="22" t="s">
        <v>43</v>
      </c>
      <c r="G60" s="22" t="s">
        <v>43</v>
      </c>
      <c r="H60" s="22" t="s">
        <v>43</v>
      </c>
      <c r="I60" s="22" t="s">
        <v>43</v>
      </c>
      <c r="J60" s="23" t="s">
        <v>986</v>
      </c>
      <c r="K60" s="22" t="s">
        <v>43</v>
      </c>
      <c r="L60" s="22" t="s">
        <v>43</v>
      </c>
      <c r="M60" s="22" t="s">
        <v>43</v>
      </c>
      <c r="N60" s="22" t="s">
        <v>43</v>
      </c>
      <c r="O60" s="23" t="s">
        <v>1199</v>
      </c>
      <c r="P60" s="22" t="s">
        <v>43</v>
      </c>
      <c r="Q60" s="22" t="s">
        <v>43</v>
      </c>
      <c r="R60" s="22" t="s">
        <v>968</v>
      </c>
      <c r="S60" s="24"/>
    </row>
    <row r="61" customFormat="false" ht="15" hidden="false" customHeight="false" outlineLevel="0" collapsed="false">
      <c r="A61" s="16" t="s">
        <v>248</v>
      </c>
      <c r="B61" s="14" t="s">
        <v>1200</v>
      </c>
      <c r="C61" s="22" t="s">
        <v>43</v>
      </c>
      <c r="D61" s="22" t="s">
        <v>43</v>
      </c>
      <c r="E61" s="22" t="s">
        <v>43</v>
      </c>
      <c r="F61" s="22" t="s">
        <v>43</v>
      </c>
      <c r="G61" s="22" t="s">
        <v>43</v>
      </c>
      <c r="H61" s="22" t="s">
        <v>43</v>
      </c>
      <c r="I61" s="22" t="s">
        <v>43</v>
      </c>
      <c r="J61" s="23" t="s">
        <v>992</v>
      </c>
      <c r="K61" s="22" t="s">
        <v>43</v>
      </c>
      <c r="L61" s="22" t="s">
        <v>43</v>
      </c>
      <c r="M61" s="22" t="s">
        <v>43</v>
      </c>
      <c r="N61" s="22" t="s">
        <v>43</v>
      </c>
      <c r="O61" s="23" t="s">
        <v>1201</v>
      </c>
      <c r="P61" s="22" t="s">
        <v>43</v>
      </c>
      <c r="Q61" s="22" t="s">
        <v>43</v>
      </c>
      <c r="R61" s="22" t="s">
        <v>968</v>
      </c>
      <c r="S61" s="24"/>
    </row>
    <row r="62" customFormat="false" ht="15" hidden="false" customHeight="false" outlineLevel="0" collapsed="false">
      <c r="A62" s="16" t="s">
        <v>248</v>
      </c>
      <c r="B62" s="14" t="s">
        <v>1202</v>
      </c>
      <c r="C62" s="22" t="s">
        <v>43</v>
      </c>
      <c r="D62" s="22" t="s">
        <v>43</v>
      </c>
      <c r="E62" s="22" t="s">
        <v>43</v>
      </c>
      <c r="F62" s="22" t="s">
        <v>43</v>
      </c>
      <c r="G62" s="22" t="s">
        <v>43</v>
      </c>
      <c r="H62" s="22" t="s">
        <v>43</v>
      </c>
      <c r="I62" s="22" t="s">
        <v>43</v>
      </c>
      <c r="J62" s="23" t="s">
        <v>1103</v>
      </c>
      <c r="K62" s="22" t="s">
        <v>43</v>
      </c>
      <c r="L62" s="22" t="s">
        <v>43</v>
      </c>
      <c r="M62" s="22" t="s">
        <v>43</v>
      </c>
      <c r="N62" s="22" t="s">
        <v>43</v>
      </c>
      <c r="O62" s="23" t="s">
        <v>1203</v>
      </c>
      <c r="P62" s="22" t="s">
        <v>43</v>
      </c>
      <c r="Q62" s="22" t="s">
        <v>43</v>
      </c>
      <c r="R62" s="22" t="s">
        <v>968</v>
      </c>
      <c r="S62" s="24"/>
    </row>
    <row r="63" customFormat="false" ht="15" hidden="false" customHeight="false" outlineLevel="0" collapsed="false">
      <c r="A63" s="16" t="s">
        <v>248</v>
      </c>
      <c r="B63" s="14" t="s">
        <v>1204</v>
      </c>
      <c r="C63" s="22" t="s">
        <v>43</v>
      </c>
      <c r="D63" s="22" t="s">
        <v>43</v>
      </c>
      <c r="E63" s="22" t="s">
        <v>43</v>
      </c>
      <c r="F63" s="22" t="s">
        <v>43</v>
      </c>
      <c r="G63" s="22" t="s">
        <v>43</v>
      </c>
      <c r="H63" s="22" t="s">
        <v>43</v>
      </c>
      <c r="I63" s="22" t="s">
        <v>43</v>
      </c>
      <c r="J63" s="23" t="s">
        <v>1108</v>
      </c>
      <c r="K63" s="22" t="s">
        <v>43</v>
      </c>
      <c r="L63" s="22" t="s">
        <v>43</v>
      </c>
      <c r="M63" s="22" t="s">
        <v>43</v>
      </c>
      <c r="N63" s="22" t="s">
        <v>43</v>
      </c>
      <c r="O63" s="23" t="s">
        <v>1205</v>
      </c>
      <c r="P63" s="22" t="s">
        <v>43</v>
      </c>
      <c r="Q63" s="22" t="s">
        <v>43</v>
      </c>
      <c r="R63" s="22" t="s">
        <v>968</v>
      </c>
      <c r="S63" s="24"/>
    </row>
    <row r="64" customFormat="false" ht="15" hidden="false" customHeight="false" outlineLevel="0" collapsed="false">
      <c r="A64" s="16" t="s">
        <v>248</v>
      </c>
      <c r="B64" s="14" t="s">
        <v>1206</v>
      </c>
      <c r="C64" s="22" t="s">
        <v>43</v>
      </c>
      <c r="D64" s="22" t="s">
        <v>43</v>
      </c>
      <c r="E64" s="22" t="s">
        <v>43</v>
      </c>
      <c r="F64" s="22" t="s">
        <v>43</v>
      </c>
      <c r="G64" s="22" t="s">
        <v>43</v>
      </c>
      <c r="H64" s="22" t="s">
        <v>43</v>
      </c>
      <c r="I64" s="22" t="s">
        <v>43</v>
      </c>
      <c r="J64" s="23" t="s">
        <v>1113</v>
      </c>
      <c r="K64" s="22" t="s">
        <v>43</v>
      </c>
      <c r="L64" s="22" t="s">
        <v>43</v>
      </c>
      <c r="M64" s="22" t="s">
        <v>43</v>
      </c>
      <c r="N64" s="22" t="s">
        <v>43</v>
      </c>
      <c r="O64" s="23" t="s">
        <v>1207</v>
      </c>
      <c r="P64" s="22" t="s">
        <v>43</v>
      </c>
      <c r="Q64" s="22" t="s">
        <v>43</v>
      </c>
      <c r="R64" s="22" t="s">
        <v>968</v>
      </c>
      <c r="S64" s="24"/>
    </row>
    <row r="65" customFormat="false" ht="15" hidden="false" customHeight="false" outlineLevel="0" collapsed="false">
      <c r="A65" s="16" t="s">
        <v>248</v>
      </c>
      <c r="B65" s="14" t="s">
        <v>1208</v>
      </c>
      <c r="C65" s="22" t="s">
        <v>43</v>
      </c>
      <c r="D65" s="22" t="s">
        <v>43</v>
      </c>
      <c r="E65" s="22" t="s">
        <v>43</v>
      </c>
      <c r="F65" s="22" t="s">
        <v>43</v>
      </c>
      <c r="G65" s="22" t="s">
        <v>43</v>
      </c>
      <c r="H65" s="22" t="s">
        <v>43</v>
      </c>
      <c r="I65" s="22" t="s">
        <v>43</v>
      </c>
      <c r="J65" s="23" t="s">
        <v>1118</v>
      </c>
      <c r="K65" s="22" t="s">
        <v>43</v>
      </c>
      <c r="L65" s="22" t="s">
        <v>43</v>
      </c>
      <c r="M65" s="22" t="s">
        <v>43</v>
      </c>
      <c r="N65" s="22" t="s">
        <v>43</v>
      </c>
      <c r="O65" s="23" t="s">
        <v>1209</v>
      </c>
      <c r="P65" s="22" t="s">
        <v>43</v>
      </c>
      <c r="Q65" s="22" t="s">
        <v>43</v>
      </c>
      <c r="R65" s="22" t="s">
        <v>968</v>
      </c>
      <c r="S65" s="24"/>
    </row>
    <row r="66" customFormat="false" ht="15" hidden="false" customHeight="false" outlineLevel="0" collapsed="false">
      <c r="A66" s="16" t="s">
        <v>248</v>
      </c>
      <c r="B66" s="14" t="s">
        <v>1210</v>
      </c>
      <c r="C66" s="22" t="s">
        <v>43</v>
      </c>
      <c r="D66" s="22" t="s">
        <v>43</v>
      </c>
      <c r="E66" s="23" t="s">
        <v>1079</v>
      </c>
      <c r="F66" s="22" t="s">
        <v>43</v>
      </c>
      <c r="G66" s="22" t="s">
        <v>43</v>
      </c>
      <c r="H66" s="22" t="s">
        <v>43</v>
      </c>
      <c r="I66" s="22" t="s">
        <v>43</v>
      </c>
      <c r="J66" s="23" t="s">
        <v>1124</v>
      </c>
      <c r="K66" s="22" t="s">
        <v>43</v>
      </c>
      <c r="L66" s="22" t="s">
        <v>43</v>
      </c>
      <c r="M66" s="22" t="s">
        <v>43</v>
      </c>
      <c r="N66" s="22" t="s">
        <v>43</v>
      </c>
      <c r="O66" s="23" t="s">
        <v>1211</v>
      </c>
      <c r="P66" s="22" t="s">
        <v>43</v>
      </c>
      <c r="Q66" s="22" t="s">
        <v>43</v>
      </c>
      <c r="R66" s="22" t="s">
        <v>968</v>
      </c>
      <c r="S66" s="24"/>
    </row>
    <row r="67" customFormat="false" ht="15" hidden="false" customHeight="false" outlineLevel="0" collapsed="false">
      <c r="A67" s="16" t="s">
        <v>248</v>
      </c>
      <c r="B67" s="14" t="s">
        <v>1212</v>
      </c>
      <c r="C67" s="22" t="s">
        <v>43</v>
      </c>
      <c r="D67" s="22" t="s">
        <v>43</v>
      </c>
      <c r="E67" s="23" t="s">
        <v>1084</v>
      </c>
      <c r="F67" s="22" t="s">
        <v>43</v>
      </c>
      <c r="G67" s="22" t="s">
        <v>43</v>
      </c>
      <c r="H67" s="22" t="s">
        <v>43</v>
      </c>
      <c r="I67" s="22" t="s">
        <v>43</v>
      </c>
      <c r="J67" s="22" t="s">
        <v>43</v>
      </c>
      <c r="K67" s="22" t="s">
        <v>43</v>
      </c>
      <c r="L67" s="22" t="s">
        <v>43</v>
      </c>
      <c r="M67" s="22" t="s">
        <v>43</v>
      </c>
      <c r="N67" s="22" t="s">
        <v>43</v>
      </c>
      <c r="O67" s="23" t="s">
        <v>1213</v>
      </c>
      <c r="P67" s="22" t="s">
        <v>43</v>
      </c>
      <c r="Q67" s="22" t="s">
        <v>43</v>
      </c>
      <c r="R67" s="22" t="s">
        <v>968</v>
      </c>
      <c r="S67" s="24"/>
    </row>
    <row r="68" customFormat="false" ht="15" hidden="false" customHeight="false" outlineLevel="0" collapsed="false">
      <c r="A68" s="16" t="s">
        <v>248</v>
      </c>
      <c r="B68" s="14" t="s">
        <v>1214</v>
      </c>
      <c r="C68" s="22" t="s">
        <v>43</v>
      </c>
      <c r="D68" s="22" t="s">
        <v>43</v>
      </c>
      <c r="E68" s="23" t="s">
        <v>1089</v>
      </c>
      <c r="F68" s="22" t="s">
        <v>43</v>
      </c>
      <c r="G68" s="22" t="s">
        <v>43</v>
      </c>
      <c r="H68" s="22" t="s">
        <v>43</v>
      </c>
      <c r="I68" s="22" t="s">
        <v>43</v>
      </c>
      <c r="J68" s="22" t="s">
        <v>43</v>
      </c>
      <c r="K68" s="22" t="s">
        <v>43</v>
      </c>
      <c r="L68" s="22" t="s">
        <v>43</v>
      </c>
      <c r="M68" s="22" t="s">
        <v>43</v>
      </c>
      <c r="N68" s="22" t="s">
        <v>43</v>
      </c>
      <c r="O68" s="23" t="s">
        <v>1215</v>
      </c>
      <c r="P68" s="22" t="s">
        <v>43</v>
      </c>
      <c r="Q68" s="22" t="s">
        <v>43</v>
      </c>
      <c r="R68" s="22" t="s">
        <v>968</v>
      </c>
      <c r="S68" s="24"/>
    </row>
    <row r="69" customFormat="false" ht="15" hidden="false" customHeight="false" outlineLevel="0" collapsed="false">
      <c r="A69" s="16" t="s">
        <v>248</v>
      </c>
      <c r="B69" s="14" t="s">
        <v>1216</v>
      </c>
      <c r="C69" s="22" t="s">
        <v>43</v>
      </c>
      <c r="D69" s="22" t="s">
        <v>43</v>
      </c>
      <c r="E69" s="23" t="s">
        <v>1095</v>
      </c>
      <c r="F69" s="22" t="s">
        <v>43</v>
      </c>
      <c r="G69" s="22" t="s">
        <v>43</v>
      </c>
      <c r="H69" s="22" t="s">
        <v>43</v>
      </c>
      <c r="I69" s="22" t="s">
        <v>43</v>
      </c>
      <c r="J69" s="22" t="s">
        <v>43</v>
      </c>
      <c r="K69" s="22" t="s">
        <v>43</v>
      </c>
      <c r="L69" s="22" t="s">
        <v>43</v>
      </c>
      <c r="M69" s="22" t="s">
        <v>43</v>
      </c>
      <c r="N69" s="22" t="s">
        <v>43</v>
      </c>
      <c r="O69" s="23" t="s">
        <v>1217</v>
      </c>
      <c r="P69" s="22" t="s">
        <v>43</v>
      </c>
      <c r="Q69" s="22" t="s">
        <v>43</v>
      </c>
      <c r="R69" s="22" t="s">
        <v>968</v>
      </c>
      <c r="S69" s="24"/>
    </row>
    <row r="70" customFormat="false" ht="15" hidden="false" customHeight="false" outlineLevel="0" collapsed="false">
      <c r="A70" s="25" t="s">
        <v>243</v>
      </c>
      <c r="B70" s="26" t="s">
        <v>1218</v>
      </c>
      <c r="C70" s="27" t="s">
        <v>43</v>
      </c>
      <c r="D70" s="27" t="s">
        <v>43</v>
      </c>
      <c r="E70" s="28" t="s">
        <v>1219</v>
      </c>
      <c r="F70" s="27" t="s">
        <v>43</v>
      </c>
      <c r="G70" s="27" t="s">
        <v>43</v>
      </c>
      <c r="H70" s="27" t="s">
        <v>43</v>
      </c>
      <c r="I70" s="27" t="s">
        <v>43</v>
      </c>
      <c r="J70" s="27" t="s">
        <v>43</v>
      </c>
      <c r="K70" s="27" t="s">
        <v>43</v>
      </c>
      <c r="L70" s="27" t="s">
        <v>43</v>
      </c>
      <c r="M70" s="27" t="s">
        <v>43</v>
      </c>
      <c r="N70" s="27" t="s">
        <v>43</v>
      </c>
      <c r="O70" s="28" t="s">
        <v>1220</v>
      </c>
      <c r="P70" s="28" t="s">
        <v>1160</v>
      </c>
      <c r="Q70" s="27" t="s">
        <v>43</v>
      </c>
      <c r="R70" s="27" t="s">
        <v>968</v>
      </c>
      <c r="S70" s="29"/>
    </row>
    <row r="71" customFormat="false" ht="15" hidden="false" customHeight="false" outlineLevel="0" collapsed="false">
      <c r="A71" s="16" t="s">
        <v>243</v>
      </c>
      <c r="B71" s="14" t="s">
        <v>1221</v>
      </c>
      <c r="C71" s="22" t="s">
        <v>43</v>
      </c>
      <c r="D71" s="22" t="s">
        <v>43</v>
      </c>
      <c r="E71" s="22" t="s">
        <v>43</v>
      </c>
      <c r="F71" s="22" t="s">
        <v>43</v>
      </c>
      <c r="G71" s="22" t="s">
        <v>43</v>
      </c>
      <c r="H71" s="22" t="s">
        <v>43</v>
      </c>
      <c r="I71" s="22" t="s">
        <v>43</v>
      </c>
      <c r="J71" s="22" t="s">
        <v>43</v>
      </c>
      <c r="K71" s="22" t="s">
        <v>43</v>
      </c>
      <c r="L71" s="22" t="s">
        <v>43</v>
      </c>
      <c r="M71" s="22" t="s">
        <v>43</v>
      </c>
      <c r="N71" s="22" t="s">
        <v>43</v>
      </c>
      <c r="O71" s="23" t="s">
        <v>1222</v>
      </c>
      <c r="P71" s="23" t="s">
        <v>1167</v>
      </c>
      <c r="Q71" s="22" t="s">
        <v>43</v>
      </c>
      <c r="R71" s="22" t="s">
        <v>968</v>
      </c>
      <c r="S71" s="24"/>
    </row>
    <row r="72" customFormat="false" ht="15" hidden="false" customHeight="false" outlineLevel="0" collapsed="false">
      <c r="A72" s="16" t="s">
        <v>243</v>
      </c>
      <c r="B72" s="14" t="s">
        <v>1223</v>
      </c>
      <c r="C72" s="23" t="s">
        <v>1224</v>
      </c>
      <c r="D72" s="22" t="s">
        <v>43</v>
      </c>
      <c r="E72" s="22" t="s">
        <v>43</v>
      </c>
      <c r="F72" s="22" t="s">
        <v>43</v>
      </c>
      <c r="G72" s="22" t="s">
        <v>43</v>
      </c>
      <c r="H72" s="22" t="s">
        <v>43</v>
      </c>
      <c r="I72" s="22" t="s">
        <v>43</v>
      </c>
      <c r="J72" s="22" t="s">
        <v>43</v>
      </c>
      <c r="K72" s="22" t="s">
        <v>43</v>
      </c>
      <c r="L72" s="22" t="s">
        <v>43</v>
      </c>
      <c r="M72" s="22" t="s">
        <v>43</v>
      </c>
      <c r="N72" s="23" t="s">
        <v>1091</v>
      </c>
      <c r="O72" s="23" t="s">
        <v>1225</v>
      </c>
      <c r="P72" s="22" t="s">
        <v>43</v>
      </c>
      <c r="Q72" s="22" t="s">
        <v>43</v>
      </c>
      <c r="R72" s="22" t="s">
        <v>968</v>
      </c>
      <c r="S72" s="24"/>
    </row>
    <row r="73" customFormat="false" ht="15" hidden="false" customHeight="false" outlineLevel="0" collapsed="false">
      <c r="A73" s="16" t="s">
        <v>243</v>
      </c>
      <c r="B73" s="14" t="s">
        <v>1226</v>
      </c>
      <c r="C73" s="23" t="s">
        <v>1227</v>
      </c>
      <c r="D73" s="22" t="s">
        <v>43</v>
      </c>
      <c r="E73" s="22" t="s">
        <v>43</v>
      </c>
      <c r="F73" s="22" t="s">
        <v>43</v>
      </c>
      <c r="G73" s="22" t="s">
        <v>43</v>
      </c>
      <c r="H73" s="22" t="s">
        <v>43</v>
      </c>
      <c r="I73" s="22" t="s">
        <v>43</v>
      </c>
      <c r="J73" s="22" t="s">
        <v>43</v>
      </c>
      <c r="K73" s="22" t="s">
        <v>43</v>
      </c>
      <c r="L73" s="22" t="s">
        <v>43</v>
      </c>
      <c r="M73" s="22" t="s">
        <v>43</v>
      </c>
      <c r="N73" s="22" t="s">
        <v>43</v>
      </c>
      <c r="O73" s="23" t="s">
        <v>1228</v>
      </c>
      <c r="P73" s="22" t="s">
        <v>43</v>
      </c>
      <c r="Q73" s="22" t="s">
        <v>43</v>
      </c>
      <c r="R73" s="22" t="s">
        <v>968</v>
      </c>
      <c r="S73" s="24"/>
    </row>
    <row r="74" customFormat="false" ht="15" hidden="false" customHeight="false" outlineLevel="0" collapsed="false">
      <c r="A74" s="16" t="s">
        <v>243</v>
      </c>
      <c r="B74" s="14" t="s">
        <v>1229</v>
      </c>
      <c r="C74" s="23" t="s">
        <v>1230</v>
      </c>
      <c r="D74" s="22" t="s">
        <v>43</v>
      </c>
      <c r="E74" s="22" t="s">
        <v>43</v>
      </c>
      <c r="F74" s="22" t="s">
        <v>43</v>
      </c>
      <c r="G74" s="22" t="s">
        <v>43</v>
      </c>
      <c r="H74" s="22" t="s">
        <v>43</v>
      </c>
      <c r="I74" s="22" t="s">
        <v>43</v>
      </c>
      <c r="J74" s="22" t="s">
        <v>43</v>
      </c>
      <c r="K74" s="22" t="s">
        <v>43</v>
      </c>
      <c r="L74" s="22" t="s">
        <v>43</v>
      </c>
      <c r="M74" s="22" t="s">
        <v>43</v>
      </c>
      <c r="N74" s="22" t="s">
        <v>43</v>
      </c>
      <c r="O74" s="23" t="s">
        <v>1231</v>
      </c>
      <c r="P74" s="23" t="s">
        <v>1173</v>
      </c>
      <c r="Q74" s="22" t="s">
        <v>43</v>
      </c>
      <c r="R74" s="22" t="s">
        <v>968</v>
      </c>
      <c r="S74" s="24"/>
    </row>
    <row r="75" customFormat="false" ht="15" hidden="false" customHeight="false" outlineLevel="0" collapsed="false">
      <c r="A75" s="16" t="s">
        <v>243</v>
      </c>
      <c r="B75" s="14" t="s">
        <v>1232</v>
      </c>
      <c r="C75" s="23" t="s">
        <v>1233</v>
      </c>
      <c r="D75" s="22" t="s">
        <v>43</v>
      </c>
      <c r="E75" s="22" t="s">
        <v>43</v>
      </c>
      <c r="F75" s="23" t="s">
        <v>979</v>
      </c>
      <c r="G75" s="22" t="s">
        <v>43</v>
      </c>
      <c r="H75" s="22" t="s">
        <v>43</v>
      </c>
      <c r="I75" s="22" t="s">
        <v>43</v>
      </c>
      <c r="J75" s="22" t="s">
        <v>43</v>
      </c>
      <c r="K75" s="22" t="s">
        <v>43</v>
      </c>
      <c r="L75" s="22" t="s">
        <v>43</v>
      </c>
      <c r="M75" s="22" t="s">
        <v>43</v>
      </c>
      <c r="N75" s="22" t="s">
        <v>43</v>
      </c>
      <c r="O75" s="23" t="s">
        <v>1234</v>
      </c>
      <c r="P75" s="23" t="s">
        <v>1093</v>
      </c>
      <c r="Q75" s="22" t="s">
        <v>43</v>
      </c>
      <c r="R75" s="22" t="s">
        <v>968</v>
      </c>
      <c r="S75" s="24"/>
    </row>
    <row r="76" customFormat="false" ht="15" hidden="false" customHeight="false" outlineLevel="0" collapsed="false">
      <c r="A76" s="16" t="s">
        <v>243</v>
      </c>
      <c r="B76" s="14" t="s">
        <v>1235</v>
      </c>
      <c r="C76" s="23" t="s">
        <v>1236</v>
      </c>
      <c r="D76" s="22" t="s">
        <v>43</v>
      </c>
      <c r="E76" s="22" t="s">
        <v>43</v>
      </c>
      <c r="F76" s="23" t="s">
        <v>985</v>
      </c>
      <c r="G76" s="22" t="s">
        <v>43</v>
      </c>
      <c r="H76" s="22" t="s">
        <v>43</v>
      </c>
      <c r="I76" s="22" t="s">
        <v>43</v>
      </c>
      <c r="J76" s="22" t="s">
        <v>43</v>
      </c>
      <c r="K76" s="22" t="s">
        <v>43</v>
      </c>
      <c r="L76" s="22" t="s">
        <v>43</v>
      </c>
      <c r="M76" s="22" t="s">
        <v>43</v>
      </c>
      <c r="N76" s="22" t="s">
        <v>43</v>
      </c>
      <c r="O76" s="23" t="s">
        <v>1237</v>
      </c>
      <c r="P76" s="23" t="s">
        <v>1099</v>
      </c>
      <c r="Q76" s="22" t="s">
        <v>43</v>
      </c>
      <c r="R76" s="22" t="s">
        <v>968</v>
      </c>
      <c r="S76" s="24"/>
    </row>
    <row r="77" customFormat="false" ht="15" hidden="false" customHeight="false" outlineLevel="0" collapsed="false">
      <c r="A77" s="16" t="s">
        <v>243</v>
      </c>
      <c r="B77" s="14" t="s">
        <v>1238</v>
      </c>
      <c r="C77" s="22" t="s">
        <v>43</v>
      </c>
      <c r="D77" s="23" t="s">
        <v>1034</v>
      </c>
      <c r="E77" s="22" t="s">
        <v>43</v>
      </c>
      <c r="F77" s="22" t="s">
        <v>43</v>
      </c>
      <c r="G77" s="22" t="s">
        <v>43</v>
      </c>
      <c r="H77" s="22" t="s">
        <v>43</v>
      </c>
      <c r="I77" s="22" t="s">
        <v>43</v>
      </c>
      <c r="J77" s="22" t="s">
        <v>43</v>
      </c>
      <c r="K77" s="22" t="s">
        <v>43</v>
      </c>
      <c r="L77" s="22" t="s">
        <v>43</v>
      </c>
      <c r="M77" s="22" t="s">
        <v>43</v>
      </c>
      <c r="N77" s="22" t="s">
        <v>43</v>
      </c>
      <c r="O77" s="23" t="s">
        <v>1239</v>
      </c>
      <c r="P77" s="22" t="s">
        <v>43</v>
      </c>
      <c r="Q77" s="22" t="s">
        <v>43</v>
      </c>
      <c r="R77" s="22" t="s">
        <v>968</v>
      </c>
      <c r="S77" s="24"/>
    </row>
    <row r="78" customFormat="false" ht="15" hidden="false" customHeight="false" outlineLevel="0" collapsed="false">
      <c r="A78" s="16" t="s">
        <v>243</v>
      </c>
      <c r="B78" s="14" t="s">
        <v>1240</v>
      </c>
      <c r="C78" s="22" t="s">
        <v>43</v>
      </c>
      <c r="D78" s="23" t="s">
        <v>1007</v>
      </c>
      <c r="E78" s="22" t="s">
        <v>43</v>
      </c>
      <c r="F78" s="22" t="s">
        <v>43</v>
      </c>
      <c r="G78" s="22" t="s">
        <v>43</v>
      </c>
      <c r="H78" s="22" t="s">
        <v>43</v>
      </c>
      <c r="I78" s="22" t="s">
        <v>43</v>
      </c>
      <c r="J78" s="22" t="s">
        <v>43</v>
      </c>
      <c r="K78" s="22" t="s">
        <v>43</v>
      </c>
      <c r="L78" s="22" t="s">
        <v>43</v>
      </c>
      <c r="M78" s="22" t="s">
        <v>43</v>
      </c>
      <c r="N78" s="22" t="s">
        <v>43</v>
      </c>
      <c r="O78" s="23" t="s">
        <v>1241</v>
      </c>
      <c r="P78" s="22" t="s">
        <v>43</v>
      </c>
      <c r="Q78" s="22" t="s">
        <v>43</v>
      </c>
      <c r="R78" s="22" t="s">
        <v>968</v>
      </c>
      <c r="S78" s="24"/>
    </row>
    <row r="79" customFormat="false" ht="15" hidden="false" customHeight="false" outlineLevel="0" collapsed="false">
      <c r="A79" s="16" t="s">
        <v>243</v>
      </c>
      <c r="B79" s="14" t="s">
        <v>1242</v>
      </c>
      <c r="C79" s="22" t="s">
        <v>43</v>
      </c>
      <c r="D79" s="23" t="s">
        <v>1014</v>
      </c>
      <c r="E79" s="22" t="s">
        <v>43</v>
      </c>
      <c r="F79" s="22" t="s">
        <v>43</v>
      </c>
      <c r="G79" s="22" t="s">
        <v>43</v>
      </c>
      <c r="H79" s="22" t="s">
        <v>43</v>
      </c>
      <c r="I79" s="22" t="s">
        <v>43</v>
      </c>
      <c r="J79" s="22" t="s">
        <v>43</v>
      </c>
      <c r="K79" s="22" t="s">
        <v>43</v>
      </c>
      <c r="L79" s="22" t="s">
        <v>43</v>
      </c>
      <c r="M79" s="22" t="s">
        <v>43</v>
      </c>
      <c r="N79" s="22" t="s">
        <v>43</v>
      </c>
      <c r="O79" s="23" t="s">
        <v>1243</v>
      </c>
      <c r="P79" s="22" t="s">
        <v>43</v>
      </c>
      <c r="Q79" s="22" t="s">
        <v>43</v>
      </c>
      <c r="R79" s="22" t="s">
        <v>968</v>
      </c>
      <c r="S79" s="24"/>
    </row>
    <row r="80" customFormat="false" ht="15" hidden="false" customHeight="false" outlineLevel="0" collapsed="false">
      <c r="A80" s="16" t="s">
        <v>243</v>
      </c>
      <c r="B80" s="14" t="s">
        <v>1244</v>
      </c>
      <c r="C80" s="22" t="s">
        <v>43</v>
      </c>
      <c r="D80" s="23" t="s">
        <v>1049</v>
      </c>
      <c r="E80" s="22" t="s">
        <v>43</v>
      </c>
      <c r="F80" s="22" t="s">
        <v>43</v>
      </c>
      <c r="G80" s="22" t="s">
        <v>43</v>
      </c>
      <c r="H80" s="22" t="s">
        <v>43</v>
      </c>
      <c r="I80" s="22" t="s">
        <v>43</v>
      </c>
      <c r="J80" s="22" t="s">
        <v>43</v>
      </c>
      <c r="K80" s="22" t="s">
        <v>43</v>
      </c>
      <c r="L80" s="22" t="s">
        <v>43</v>
      </c>
      <c r="M80" s="22" t="s">
        <v>43</v>
      </c>
      <c r="N80" s="22" t="s">
        <v>43</v>
      </c>
      <c r="O80" s="23" t="s">
        <v>1245</v>
      </c>
      <c r="P80" s="22" t="s">
        <v>43</v>
      </c>
      <c r="Q80" s="22" t="s">
        <v>43</v>
      </c>
      <c r="R80" s="22" t="s">
        <v>968</v>
      </c>
      <c r="S80" s="24"/>
    </row>
    <row r="81" customFormat="false" ht="15" hidden="false" customHeight="false" outlineLevel="0" collapsed="false">
      <c r="A81" s="16" t="s">
        <v>243</v>
      </c>
      <c r="B81" s="14" t="s">
        <v>1246</v>
      </c>
      <c r="C81" s="22" t="s">
        <v>43</v>
      </c>
      <c r="D81" s="23" t="s">
        <v>1019</v>
      </c>
      <c r="E81" s="22" t="s">
        <v>43</v>
      </c>
      <c r="F81" s="22" t="s">
        <v>43</v>
      </c>
      <c r="G81" s="22" t="s">
        <v>43</v>
      </c>
      <c r="H81" s="22" t="s">
        <v>43</v>
      </c>
      <c r="I81" s="22" t="s">
        <v>43</v>
      </c>
      <c r="J81" s="22" t="s">
        <v>43</v>
      </c>
      <c r="K81" s="22" t="s">
        <v>43</v>
      </c>
      <c r="L81" s="22" t="s">
        <v>43</v>
      </c>
      <c r="M81" s="22" t="s">
        <v>43</v>
      </c>
      <c r="N81" s="22" t="s">
        <v>43</v>
      </c>
      <c r="O81" s="23" t="s">
        <v>1247</v>
      </c>
      <c r="P81" s="22" t="s">
        <v>43</v>
      </c>
      <c r="Q81" s="22" t="s">
        <v>43</v>
      </c>
      <c r="R81" s="22" t="s">
        <v>968</v>
      </c>
      <c r="S81" s="24"/>
    </row>
    <row r="82" customFormat="false" ht="15" hidden="false" customHeight="false" outlineLevel="0" collapsed="false">
      <c r="A82" s="16" t="s">
        <v>243</v>
      </c>
      <c r="B82" s="14" t="s">
        <v>1248</v>
      </c>
      <c r="C82" s="22" t="s">
        <v>43</v>
      </c>
      <c r="D82" s="23" t="s">
        <v>1055</v>
      </c>
      <c r="E82" s="22" t="s">
        <v>43</v>
      </c>
      <c r="F82" s="22" t="s">
        <v>43</v>
      </c>
      <c r="G82" s="22" t="s">
        <v>43</v>
      </c>
      <c r="H82" s="22" t="s">
        <v>43</v>
      </c>
      <c r="I82" s="22" t="s">
        <v>43</v>
      </c>
      <c r="J82" s="22" t="s">
        <v>43</v>
      </c>
      <c r="K82" s="22" t="s">
        <v>43</v>
      </c>
      <c r="L82" s="22" t="s">
        <v>43</v>
      </c>
      <c r="M82" s="22" t="s">
        <v>43</v>
      </c>
      <c r="N82" s="22" t="s">
        <v>43</v>
      </c>
      <c r="O82" s="23" t="s">
        <v>1249</v>
      </c>
      <c r="P82" s="22" t="s">
        <v>43</v>
      </c>
      <c r="Q82" s="22" t="s">
        <v>43</v>
      </c>
      <c r="R82" s="22" t="s">
        <v>968</v>
      </c>
      <c r="S82" s="24"/>
    </row>
    <row r="83" customFormat="false" ht="15" hidden="false" customHeight="false" outlineLevel="0" collapsed="false">
      <c r="A83" s="16" t="s">
        <v>243</v>
      </c>
      <c r="B83" s="14" t="s">
        <v>1250</v>
      </c>
      <c r="C83" s="22" t="s">
        <v>43</v>
      </c>
      <c r="D83" s="23" t="s">
        <v>1024</v>
      </c>
      <c r="E83" s="22" t="s">
        <v>43</v>
      </c>
      <c r="F83" s="22" t="s">
        <v>43</v>
      </c>
      <c r="G83" s="22" t="s">
        <v>43</v>
      </c>
      <c r="H83" s="22" t="s">
        <v>43</v>
      </c>
      <c r="I83" s="22" t="s">
        <v>43</v>
      </c>
      <c r="J83" s="22" t="s">
        <v>43</v>
      </c>
      <c r="K83" s="22" t="s">
        <v>43</v>
      </c>
      <c r="L83" s="22" t="s">
        <v>43</v>
      </c>
      <c r="M83" s="22" t="s">
        <v>43</v>
      </c>
      <c r="N83" s="22" t="s">
        <v>43</v>
      </c>
      <c r="O83" s="23" t="s">
        <v>1251</v>
      </c>
      <c r="P83" s="22" t="s">
        <v>43</v>
      </c>
      <c r="Q83" s="22" t="s">
        <v>43</v>
      </c>
      <c r="R83" s="22" t="s">
        <v>968</v>
      </c>
      <c r="S83" s="24"/>
    </row>
    <row r="84" customFormat="false" ht="15" hidden="false" customHeight="false" outlineLevel="0" collapsed="false">
      <c r="A84" s="16" t="s">
        <v>243</v>
      </c>
      <c r="B84" s="14" t="s">
        <v>1252</v>
      </c>
      <c r="C84" s="22" t="s">
        <v>43</v>
      </c>
      <c r="D84" s="23" t="s">
        <v>1029</v>
      </c>
      <c r="E84" s="22" t="s">
        <v>43</v>
      </c>
      <c r="F84" s="22" t="s">
        <v>43</v>
      </c>
      <c r="G84" s="22" t="s">
        <v>43</v>
      </c>
      <c r="H84" s="22" t="s">
        <v>43</v>
      </c>
      <c r="I84" s="22" t="s">
        <v>43</v>
      </c>
      <c r="J84" s="22" t="s">
        <v>43</v>
      </c>
      <c r="K84" s="22" t="s">
        <v>43</v>
      </c>
      <c r="L84" s="22" t="s">
        <v>43</v>
      </c>
      <c r="M84" s="22" t="s">
        <v>43</v>
      </c>
      <c r="N84" s="22" t="s">
        <v>43</v>
      </c>
      <c r="O84" s="23" t="s">
        <v>1253</v>
      </c>
      <c r="P84" s="22" t="s">
        <v>43</v>
      </c>
      <c r="Q84" s="22" t="s">
        <v>43</v>
      </c>
      <c r="R84" s="22" t="s">
        <v>968</v>
      </c>
      <c r="S84" s="24"/>
    </row>
    <row r="85" customFormat="false" ht="15" hidden="false" customHeight="false" outlineLevel="0" collapsed="false">
      <c r="A85" s="16" t="s">
        <v>243</v>
      </c>
      <c r="B85" s="14" t="s">
        <v>1254</v>
      </c>
      <c r="C85" s="22" t="s">
        <v>43</v>
      </c>
      <c r="D85" s="23" t="s">
        <v>1000</v>
      </c>
      <c r="E85" s="22" t="s">
        <v>43</v>
      </c>
      <c r="F85" s="22" t="s">
        <v>43</v>
      </c>
      <c r="G85" s="22" t="s">
        <v>43</v>
      </c>
      <c r="H85" s="22" t="s">
        <v>43</v>
      </c>
      <c r="I85" s="22" t="s">
        <v>43</v>
      </c>
      <c r="J85" s="22" t="s">
        <v>43</v>
      </c>
      <c r="K85" s="22" t="s">
        <v>43</v>
      </c>
      <c r="L85" s="22" t="s">
        <v>43</v>
      </c>
      <c r="M85" s="22" t="s">
        <v>43</v>
      </c>
      <c r="N85" s="22" t="s">
        <v>43</v>
      </c>
      <c r="O85" s="23" t="s">
        <v>1255</v>
      </c>
      <c r="P85" s="22" t="s">
        <v>43</v>
      </c>
      <c r="Q85" s="22" t="s">
        <v>43</v>
      </c>
      <c r="R85" s="22" t="s">
        <v>968</v>
      </c>
      <c r="S85" s="24"/>
    </row>
    <row r="86" customFormat="false" ht="15" hidden="false" customHeight="false" outlineLevel="0" collapsed="false">
      <c r="A86" s="25" t="s">
        <v>238</v>
      </c>
      <c r="B86" s="26" t="s">
        <v>1256</v>
      </c>
      <c r="C86" s="27" t="s">
        <v>43</v>
      </c>
      <c r="D86" s="27" t="s">
        <v>43</v>
      </c>
      <c r="E86" s="27" t="s">
        <v>43</v>
      </c>
      <c r="F86" s="27" t="s">
        <v>43</v>
      </c>
      <c r="G86" s="28" t="s">
        <v>1107</v>
      </c>
      <c r="H86" s="27" t="s">
        <v>43</v>
      </c>
      <c r="I86" s="27" t="s">
        <v>43</v>
      </c>
      <c r="J86" s="27" t="s">
        <v>43</v>
      </c>
      <c r="K86" s="27" t="s">
        <v>43</v>
      </c>
      <c r="L86" s="27" t="s">
        <v>43</v>
      </c>
      <c r="M86" s="27" t="s">
        <v>43</v>
      </c>
      <c r="N86" s="27" t="s">
        <v>43</v>
      </c>
      <c r="O86" s="28" t="s">
        <v>1257</v>
      </c>
      <c r="P86" s="27" t="s">
        <v>43</v>
      </c>
      <c r="Q86" s="27" t="s">
        <v>43</v>
      </c>
      <c r="R86" s="27" t="s">
        <v>968</v>
      </c>
      <c r="S86" s="29"/>
    </row>
    <row r="87" customFormat="false" ht="15" hidden="false" customHeight="false" outlineLevel="0" collapsed="false">
      <c r="A87" s="16" t="s">
        <v>238</v>
      </c>
      <c r="B87" s="14" t="s">
        <v>1258</v>
      </c>
      <c r="C87" s="22" t="s">
        <v>43</v>
      </c>
      <c r="D87" s="22" t="s">
        <v>43</v>
      </c>
      <c r="E87" s="22" t="s">
        <v>43</v>
      </c>
      <c r="F87" s="22" t="s">
        <v>43</v>
      </c>
      <c r="G87" s="23" t="s">
        <v>1101</v>
      </c>
      <c r="H87" s="22" t="s">
        <v>43</v>
      </c>
      <c r="I87" s="22" t="s">
        <v>43</v>
      </c>
      <c r="J87" s="22" t="s">
        <v>43</v>
      </c>
      <c r="K87" s="22" t="s">
        <v>43</v>
      </c>
      <c r="L87" s="22" t="s">
        <v>43</v>
      </c>
      <c r="M87" s="22" t="s">
        <v>43</v>
      </c>
      <c r="N87" s="22" t="s">
        <v>43</v>
      </c>
      <c r="O87" s="23" t="s">
        <v>1259</v>
      </c>
      <c r="P87" s="22" t="s">
        <v>43</v>
      </c>
      <c r="Q87" s="22" t="s">
        <v>43</v>
      </c>
      <c r="R87" s="22" t="s">
        <v>968</v>
      </c>
      <c r="S87" s="24"/>
    </row>
    <row r="88" customFormat="false" ht="15" hidden="false" customHeight="false" outlineLevel="0" collapsed="false">
      <c r="A88" s="16" t="s">
        <v>238</v>
      </c>
      <c r="B88" s="14" t="s">
        <v>1260</v>
      </c>
      <c r="C88" s="22" t="s">
        <v>43</v>
      </c>
      <c r="D88" s="22" t="s">
        <v>43</v>
      </c>
      <c r="E88" s="22" t="s">
        <v>43</v>
      </c>
      <c r="F88" s="22" t="s">
        <v>43</v>
      </c>
      <c r="G88" s="23" t="s">
        <v>1112</v>
      </c>
      <c r="H88" s="22" t="s">
        <v>43</v>
      </c>
      <c r="I88" s="22" t="s">
        <v>43</v>
      </c>
      <c r="J88" s="22" t="s">
        <v>43</v>
      </c>
      <c r="K88" s="22" t="s">
        <v>43</v>
      </c>
      <c r="L88" s="22" t="s">
        <v>43</v>
      </c>
      <c r="M88" s="22" t="s">
        <v>43</v>
      </c>
      <c r="N88" s="22" t="s">
        <v>43</v>
      </c>
      <c r="O88" s="23" t="s">
        <v>1261</v>
      </c>
      <c r="P88" s="22" t="s">
        <v>43</v>
      </c>
      <c r="Q88" s="22" t="s">
        <v>43</v>
      </c>
      <c r="R88" s="22" t="s">
        <v>968</v>
      </c>
      <c r="S88" s="24"/>
    </row>
    <row r="89" customFormat="false" ht="15" hidden="false" customHeight="false" outlineLevel="0" collapsed="false">
      <c r="A89" s="16" t="s">
        <v>238</v>
      </c>
      <c r="B89" s="14" t="s">
        <v>1262</v>
      </c>
      <c r="C89" s="22" t="s">
        <v>43</v>
      </c>
      <c r="D89" s="22" t="s">
        <v>43</v>
      </c>
      <c r="E89" s="22" t="s">
        <v>43</v>
      </c>
      <c r="F89" s="22" t="s">
        <v>43</v>
      </c>
      <c r="G89" s="22" t="s">
        <v>43</v>
      </c>
      <c r="H89" s="22" t="s">
        <v>43</v>
      </c>
      <c r="I89" s="22" t="s">
        <v>43</v>
      </c>
      <c r="J89" s="22" t="s">
        <v>43</v>
      </c>
      <c r="K89" s="22" t="s">
        <v>43</v>
      </c>
      <c r="L89" s="22" t="s">
        <v>43</v>
      </c>
      <c r="M89" s="22" t="s">
        <v>43</v>
      </c>
      <c r="N89" s="22" t="s">
        <v>43</v>
      </c>
      <c r="O89" s="23" t="s">
        <v>1263</v>
      </c>
      <c r="P89" s="22" t="s">
        <v>43</v>
      </c>
      <c r="Q89" s="22" t="s">
        <v>43</v>
      </c>
      <c r="R89" s="22" t="s">
        <v>968</v>
      </c>
      <c r="S89" s="24"/>
    </row>
    <row r="90" customFormat="false" ht="15" hidden="false" customHeight="false" outlineLevel="0" collapsed="false">
      <c r="A90" s="16" t="s">
        <v>238</v>
      </c>
      <c r="B90" s="14" t="s">
        <v>1264</v>
      </c>
      <c r="C90" s="22" t="s">
        <v>43</v>
      </c>
      <c r="D90" s="22" t="s">
        <v>43</v>
      </c>
      <c r="E90" s="22" t="s">
        <v>43</v>
      </c>
      <c r="F90" s="22" t="s">
        <v>43</v>
      </c>
      <c r="G90" s="22" t="s">
        <v>43</v>
      </c>
      <c r="H90" s="22" t="s">
        <v>43</v>
      </c>
      <c r="I90" s="22" t="s">
        <v>43</v>
      </c>
      <c r="J90" s="22" t="s">
        <v>43</v>
      </c>
      <c r="K90" s="22" t="s">
        <v>43</v>
      </c>
      <c r="L90" s="22" t="s">
        <v>43</v>
      </c>
      <c r="M90" s="22" t="s">
        <v>43</v>
      </c>
      <c r="N90" s="22" t="s">
        <v>43</v>
      </c>
      <c r="O90" s="23" t="s">
        <v>1265</v>
      </c>
      <c r="P90" s="22" t="s">
        <v>43</v>
      </c>
      <c r="Q90" s="22" t="s">
        <v>43</v>
      </c>
      <c r="R90" s="22" t="s">
        <v>968</v>
      </c>
      <c r="S90" s="24"/>
    </row>
    <row r="91" customFormat="false" ht="15" hidden="false" customHeight="false" outlineLevel="0" collapsed="false">
      <c r="A91" s="16" t="s">
        <v>238</v>
      </c>
      <c r="B91" s="14" t="s">
        <v>1266</v>
      </c>
      <c r="C91" s="22" t="s">
        <v>43</v>
      </c>
      <c r="D91" s="22" t="s">
        <v>43</v>
      </c>
      <c r="E91" s="22" t="s">
        <v>43</v>
      </c>
      <c r="F91" s="22" t="s">
        <v>43</v>
      </c>
      <c r="G91" s="22" t="s">
        <v>43</v>
      </c>
      <c r="H91" s="22" t="s">
        <v>43</v>
      </c>
      <c r="I91" s="22" t="s">
        <v>43</v>
      </c>
      <c r="J91" s="22" t="s">
        <v>43</v>
      </c>
      <c r="K91" s="22" t="s">
        <v>43</v>
      </c>
      <c r="L91" s="22" t="s">
        <v>43</v>
      </c>
      <c r="M91" s="22" t="s">
        <v>43</v>
      </c>
      <c r="N91" s="22" t="s">
        <v>43</v>
      </c>
      <c r="O91" s="23" t="s">
        <v>1267</v>
      </c>
      <c r="P91" s="22" t="s">
        <v>43</v>
      </c>
      <c r="Q91" s="22" t="s">
        <v>43</v>
      </c>
      <c r="R91" s="22" t="s">
        <v>968</v>
      </c>
      <c r="S91" s="24"/>
    </row>
    <row r="92" customFormat="false" ht="15" hidden="false" customHeight="false" outlineLevel="0" collapsed="false">
      <c r="A92" s="16" t="s">
        <v>238</v>
      </c>
      <c r="B92" s="14" t="s">
        <v>1268</v>
      </c>
      <c r="C92" s="22" t="s">
        <v>43</v>
      </c>
      <c r="D92" s="22" t="s">
        <v>43</v>
      </c>
      <c r="E92" s="22" t="s">
        <v>43</v>
      </c>
      <c r="F92" s="23" t="s">
        <v>1090</v>
      </c>
      <c r="G92" s="22" t="s">
        <v>43</v>
      </c>
      <c r="H92" s="22" t="s">
        <v>43</v>
      </c>
      <c r="I92" s="22" t="s">
        <v>43</v>
      </c>
      <c r="J92" s="22" t="s">
        <v>43</v>
      </c>
      <c r="K92" s="22" t="s">
        <v>43</v>
      </c>
      <c r="L92" s="22" t="s">
        <v>43</v>
      </c>
      <c r="M92" s="22" t="s">
        <v>43</v>
      </c>
      <c r="N92" s="22" t="s">
        <v>43</v>
      </c>
      <c r="O92" s="23" t="s">
        <v>1269</v>
      </c>
      <c r="P92" s="22" t="s">
        <v>43</v>
      </c>
      <c r="Q92" s="22" t="s">
        <v>43</v>
      </c>
      <c r="R92" s="22" t="s">
        <v>968</v>
      </c>
      <c r="S92" s="24"/>
    </row>
    <row r="93" customFormat="false" ht="15" hidden="false" customHeight="false" outlineLevel="0" collapsed="false">
      <c r="A93" s="16" t="s">
        <v>238</v>
      </c>
      <c r="B93" s="14" t="s">
        <v>1270</v>
      </c>
      <c r="C93" s="22" t="s">
        <v>43</v>
      </c>
      <c r="D93" s="22" t="s">
        <v>43</v>
      </c>
      <c r="E93" s="22" t="s">
        <v>43</v>
      </c>
      <c r="F93" s="23" t="s">
        <v>1096</v>
      </c>
      <c r="G93" s="22" t="s">
        <v>43</v>
      </c>
      <c r="H93" s="22" t="s">
        <v>43</v>
      </c>
      <c r="I93" s="22" t="s">
        <v>43</v>
      </c>
      <c r="J93" s="22" t="s">
        <v>43</v>
      </c>
      <c r="K93" s="22" t="s">
        <v>43</v>
      </c>
      <c r="L93" s="22" t="s">
        <v>43</v>
      </c>
      <c r="M93" s="22" t="s">
        <v>43</v>
      </c>
      <c r="N93" s="22" t="s">
        <v>43</v>
      </c>
      <c r="O93" s="23" t="s">
        <v>1271</v>
      </c>
      <c r="P93" s="22" t="s">
        <v>43</v>
      </c>
      <c r="Q93" s="22" t="s">
        <v>43</v>
      </c>
      <c r="R93" s="22" t="s">
        <v>968</v>
      </c>
      <c r="S93" s="24"/>
    </row>
    <row r="94" customFormat="false" ht="15" hidden="false" customHeight="false" outlineLevel="0" collapsed="false">
      <c r="A94" s="16" t="s">
        <v>238</v>
      </c>
      <c r="B94" s="14" t="s">
        <v>1272</v>
      </c>
      <c r="C94" s="22" t="s">
        <v>43</v>
      </c>
      <c r="D94" s="22" t="s">
        <v>43</v>
      </c>
      <c r="E94" s="22" t="s">
        <v>43</v>
      </c>
      <c r="F94" s="22" t="s">
        <v>43</v>
      </c>
      <c r="G94" s="22" t="s">
        <v>43</v>
      </c>
      <c r="H94" s="22" t="s">
        <v>43</v>
      </c>
      <c r="I94" s="22" t="s">
        <v>43</v>
      </c>
      <c r="J94" s="22" t="s">
        <v>43</v>
      </c>
      <c r="K94" s="22" t="s">
        <v>43</v>
      </c>
      <c r="L94" s="23" t="s">
        <v>1004</v>
      </c>
      <c r="M94" s="22" t="s">
        <v>43</v>
      </c>
      <c r="N94" s="22" t="s">
        <v>43</v>
      </c>
      <c r="O94" s="23" t="s">
        <v>1273</v>
      </c>
      <c r="P94" s="22" t="s">
        <v>43</v>
      </c>
      <c r="Q94" s="22" t="s">
        <v>43</v>
      </c>
      <c r="R94" s="22" t="s">
        <v>968</v>
      </c>
      <c r="S94" s="24"/>
    </row>
    <row r="95" customFormat="false" ht="15" hidden="false" customHeight="false" outlineLevel="0" collapsed="false">
      <c r="A95" s="16" t="s">
        <v>238</v>
      </c>
      <c r="B95" s="14" t="s">
        <v>1274</v>
      </c>
      <c r="C95" s="22" t="s">
        <v>43</v>
      </c>
      <c r="D95" s="22" t="s">
        <v>43</v>
      </c>
      <c r="E95" s="22" t="s">
        <v>43</v>
      </c>
      <c r="F95" s="22" t="s">
        <v>43</v>
      </c>
      <c r="G95" s="22" t="s">
        <v>43</v>
      </c>
      <c r="H95" s="22" t="s">
        <v>43</v>
      </c>
      <c r="I95" s="22" t="s">
        <v>43</v>
      </c>
      <c r="J95" s="22" t="s">
        <v>43</v>
      </c>
      <c r="K95" s="22" t="s">
        <v>43</v>
      </c>
      <c r="L95" s="23" t="s">
        <v>1010</v>
      </c>
      <c r="M95" s="22" t="s">
        <v>43</v>
      </c>
      <c r="N95" s="22" t="s">
        <v>43</v>
      </c>
      <c r="O95" s="23" t="s">
        <v>1275</v>
      </c>
      <c r="P95" s="22" t="s">
        <v>43</v>
      </c>
      <c r="Q95" s="22" t="s">
        <v>43</v>
      </c>
      <c r="R95" s="22" t="s">
        <v>968</v>
      </c>
      <c r="S95" s="24"/>
    </row>
    <row r="96" customFormat="false" ht="15" hidden="false" customHeight="false" outlineLevel="0" collapsed="false">
      <c r="A96" s="16" t="s">
        <v>238</v>
      </c>
      <c r="B96" s="14" t="s">
        <v>1276</v>
      </c>
      <c r="C96" s="22" t="s">
        <v>43</v>
      </c>
      <c r="D96" s="22" t="s">
        <v>43</v>
      </c>
      <c r="E96" s="22" t="s">
        <v>43</v>
      </c>
      <c r="F96" s="22" t="s">
        <v>43</v>
      </c>
      <c r="G96" s="22" t="s">
        <v>43</v>
      </c>
      <c r="H96" s="22" t="s">
        <v>43</v>
      </c>
      <c r="I96" s="22" t="s">
        <v>43</v>
      </c>
      <c r="J96" s="22" t="s">
        <v>43</v>
      </c>
      <c r="K96" s="22" t="s">
        <v>43</v>
      </c>
      <c r="L96" s="22" t="s">
        <v>43</v>
      </c>
      <c r="M96" s="22" t="s">
        <v>43</v>
      </c>
      <c r="N96" s="22" t="s">
        <v>43</v>
      </c>
      <c r="O96" s="23" t="s">
        <v>1277</v>
      </c>
      <c r="P96" s="22" t="s">
        <v>43</v>
      </c>
      <c r="Q96" s="22" t="s">
        <v>43</v>
      </c>
      <c r="R96" s="22" t="s">
        <v>968</v>
      </c>
      <c r="S96" s="24"/>
    </row>
    <row r="97" customFormat="false" ht="15" hidden="false" customHeight="false" outlineLevel="0" collapsed="false">
      <c r="A97" s="16" t="s">
        <v>238</v>
      </c>
      <c r="B97" s="14" t="s">
        <v>1278</v>
      </c>
      <c r="C97" s="22" t="s">
        <v>43</v>
      </c>
      <c r="D97" s="22" t="s">
        <v>43</v>
      </c>
      <c r="E97" s="22" t="s">
        <v>43</v>
      </c>
      <c r="F97" s="22" t="s">
        <v>43</v>
      </c>
      <c r="G97" s="22" t="s">
        <v>43</v>
      </c>
      <c r="H97" s="22" t="s">
        <v>43</v>
      </c>
      <c r="I97" s="22" t="s">
        <v>43</v>
      </c>
      <c r="J97" s="22" t="s">
        <v>43</v>
      </c>
      <c r="K97" s="22" t="s">
        <v>43</v>
      </c>
      <c r="L97" s="22" t="s">
        <v>43</v>
      </c>
      <c r="M97" s="22" t="s">
        <v>43</v>
      </c>
      <c r="N97" s="22" t="s">
        <v>43</v>
      </c>
      <c r="O97" s="22" t="s">
        <v>43</v>
      </c>
      <c r="P97" s="23" t="s">
        <v>1279</v>
      </c>
      <c r="Q97" s="22" t="s">
        <v>43</v>
      </c>
      <c r="R97" s="22" t="s">
        <v>968</v>
      </c>
      <c r="S97" s="24"/>
    </row>
    <row r="98" customFormat="false" ht="15" hidden="false" customHeight="false" outlineLevel="0" collapsed="false">
      <c r="A98" s="16" t="s">
        <v>238</v>
      </c>
      <c r="B98" s="14" t="s">
        <v>1280</v>
      </c>
      <c r="C98" s="22" t="s">
        <v>43</v>
      </c>
      <c r="D98" s="22" t="s">
        <v>43</v>
      </c>
      <c r="E98" s="22" t="s">
        <v>43</v>
      </c>
      <c r="F98" s="22" t="s">
        <v>43</v>
      </c>
      <c r="G98" s="22" t="s">
        <v>43</v>
      </c>
      <c r="H98" s="22" t="s">
        <v>43</v>
      </c>
      <c r="I98" s="22" t="s">
        <v>43</v>
      </c>
      <c r="J98" s="22" t="s">
        <v>43</v>
      </c>
      <c r="K98" s="22" t="s">
        <v>43</v>
      </c>
      <c r="L98" s="22" t="s">
        <v>43</v>
      </c>
      <c r="M98" s="22" t="s">
        <v>43</v>
      </c>
      <c r="N98" s="22" t="s">
        <v>43</v>
      </c>
      <c r="O98" s="23" t="s">
        <v>1281</v>
      </c>
      <c r="P98" s="22" t="s">
        <v>43</v>
      </c>
      <c r="Q98" s="22" t="s">
        <v>43</v>
      </c>
      <c r="R98" s="22" t="s">
        <v>968</v>
      </c>
      <c r="S98" s="24"/>
    </row>
    <row r="99" customFormat="false" ht="15" hidden="false" customHeight="false" outlineLevel="0" collapsed="false">
      <c r="A99" s="16" t="s">
        <v>238</v>
      </c>
      <c r="B99" s="14" t="s">
        <v>1282</v>
      </c>
      <c r="C99" s="22" t="s">
        <v>43</v>
      </c>
      <c r="D99" s="22" t="s">
        <v>43</v>
      </c>
      <c r="E99" s="22" t="s">
        <v>43</v>
      </c>
      <c r="F99" s="22" t="s">
        <v>43</v>
      </c>
      <c r="G99" s="22" t="s">
        <v>43</v>
      </c>
      <c r="H99" s="22" t="s">
        <v>43</v>
      </c>
      <c r="I99" s="22" t="s">
        <v>43</v>
      </c>
      <c r="J99" s="22" t="s">
        <v>43</v>
      </c>
      <c r="K99" s="22" t="s">
        <v>43</v>
      </c>
      <c r="L99" s="22" t="s">
        <v>43</v>
      </c>
      <c r="M99" s="22" t="s">
        <v>43</v>
      </c>
      <c r="N99" s="22" t="s">
        <v>43</v>
      </c>
      <c r="O99" s="23" t="s">
        <v>1283</v>
      </c>
      <c r="P99" s="22" t="s">
        <v>43</v>
      </c>
      <c r="Q99" s="22" t="s">
        <v>43</v>
      </c>
      <c r="R99" s="22" t="s">
        <v>968</v>
      </c>
      <c r="S99" s="24"/>
    </row>
    <row r="100" customFormat="false" ht="15" hidden="false" customHeight="false" outlineLevel="0" collapsed="false">
      <c r="A100" s="16" t="s">
        <v>238</v>
      </c>
      <c r="B100" s="14" t="s">
        <v>1284</v>
      </c>
      <c r="C100" s="22" t="s">
        <v>43</v>
      </c>
      <c r="D100" s="22" t="s">
        <v>43</v>
      </c>
      <c r="E100" s="22" t="s">
        <v>43</v>
      </c>
      <c r="F100" s="22" t="s">
        <v>43</v>
      </c>
      <c r="G100" s="22" t="s">
        <v>43</v>
      </c>
      <c r="H100" s="22" t="s">
        <v>43</v>
      </c>
      <c r="I100" s="22" t="s">
        <v>43</v>
      </c>
      <c r="J100" s="22" t="s">
        <v>43</v>
      </c>
      <c r="K100" s="22" t="s">
        <v>43</v>
      </c>
      <c r="L100" s="22" t="s">
        <v>43</v>
      </c>
      <c r="M100" s="22" t="s">
        <v>43</v>
      </c>
      <c r="N100" s="22" t="s">
        <v>43</v>
      </c>
      <c r="O100" s="23" t="s">
        <v>1285</v>
      </c>
      <c r="P100" s="22" t="s">
        <v>43</v>
      </c>
      <c r="Q100" s="22" t="s">
        <v>43</v>
      </c>
      <c r="R100" s="22" t="s">
        <v>968</v>
      </c>
      <c r="S100" s="24"/>
    </row>
    <row r="101" customFormat="false" ht="15" hidden="false" customHeight="false" outlineLevel="0" collapsed="false">
      <c r="A101" s="16" t="s">
        <v>238</v>
      </c>
      <c r="B101" s="14" t="s">
        <v>1286</v>
      </c>
      <c r="C101" s="22" t="s">
        <v>43</v>
      </c>
      <c r="D101" s="22" t="s">
        <v>43</v>
      </c>
      <c r="E101" s="22" t="s">
        <v>43</v>
      </c>
      <c r="F101" s="22" t="s">
        <v>43</v>
      </c>
      <c r="G101" s="22" t="s">
        <v>43</v>
      </c>
      <c r="H101" s="22" t="s">
        <v>43</v>
      </c>
      <c r="I101" s="22" t="s">
        <v>43</v>
      </c>
      <c r="J101" s="22" t="s">
        <v>43</v>
      </c>
      <c r="K101" s="22" t="s">
        <v>43</v>
      </c>
      <c r="L101" s="22" t="s">
        <v>43</v>
      </c>
      <c r="M101" s="22" t="s">
        <v>43</v>
      </c>
      <c r="N101" s="22" t="s">
        <v>43</v>
      </c>
      <c r="O101" s="23" t="s">
        <v>1287</v>
      </c>
      <c r="P101" s="22" t="s">
        <v>43</v>
      </c>
      <c r="Q101" s="22" t="s">
        <v>43</v>
      </c>
      <c r="R101" s="22" t="s">
        <v>968</v>
      </c>
      <c r="S101" s="24"/>
    </row>
    <row r="102" customFormat="false" ht="15" hidden="false" customHeight="false" outlineLevel="0" collapsed="false">
      <c r="A102" s="25" t="s">
        <v>233</v>
      </c>
      <c r="B102" s="26" t="s">
        <v>1288</v>
      </c>
      <c r="C102" s="27" t="s">
        <v>43</v>
      </c>
      <c r="D102" s="27" t="s">
        <v>43</v>
      </c>
      <c r="E102" s="27" t="s">
        <v>43</v>
      </c>
      <c r="F102" s="27" t="s">
        <v>43</v>
      </c>
      <c r="G102" s="27" t="s">
        <v>43</v>
      </c>
      <c r="H102" s="27" t="s">
        <v>43</v>
      </c>
      <c r="I102" s="27" t="s">
        <v>43</v>
      </c>
      <c r="J102" s="27" t="s">
        <v>43</v>
      </c>
      <c r="K102" s="27" t="s">
        <v>43</v>
      </c>
      <c r="L102" s="27" t="s">
        <v>43</v>
      </c>
      <c r="M102" s="27" t="s">
        <v>43</v>
      </c>
      <c r="N102" s="27" t="s">
        <v>43</v>
      </c>
      <c r="O102" s="28" t="s">
        <v>1289</v>
      </c>
      <c r="P102" s="27" t="s">
        <v>43</v>
      </c>
      <c r="Q102" s="27" t="s">
        <v>43</v>
      </c>
      <c r="R102" s="27" t="s">
        <v>968</v>
      </c>
      <c r="S102" s="29"/>
    </row>
    <row r="103" customFormat="false" ht="15" hidden="false" customHeight="false" outlineLevel="0" collapsed="false">
      <c r="A103" s="16" t="s">
        <v>233</v>
      </c>
      <c r="B103" s="14" t="s">
        <v>1290</v>
      </c>
      <c r="C103" s="22" t="s">
        <v>43</v>
      </c>
      <c r="D103" s="22" t="s">
        <v>43</v>
      </c>
      <c r="E103" s="22" t="s">
        <v>43</v>
      </c>
      <c r="F103" s="22" t="s">
        <v>43</v>
      </c>
      <c r="G103" s="22" t="s">
        <v>43</v>
      </c>
      <c r="H103" s="22" t="s">
        <v>43</v>
      </c>
      <c r="I103" s="22" t="s">
        <v>43</v>
      </c>
      <c r="J103" s="22" t="s">
        <v>43</v>
      </c>
      <c r="K103" s="22" t="s">
        <v>43</v>
      </c>
      <c r="L103" s="22" t="s">
        <v>43</v>
      </c>
      <c r="M103" s="22" t="s">
        <v>43</v>
      </c>
      <c r="N103" s="22" t="s">
        <v>43</v>
      </c>
      <c r="O103" s="23" t="s">
        <v>1291</v>
      </c>
      <c r="P103" s="22" t="s">
        <v>43</v>
      </c>
      <c r="Q103" s="22" t="s">
        <v>43</v>
      </c>
      <c r="R103" s="22" t="s">
        <v>968</v>
      </c>
      <c r="S103" s="24"/>
    </row>
    <row r="104" customFormat="false" ht="15" hidden="false" customHeight="false" outlineLevel="0" collapsed="false">
      <c r="A104" s="16" t="s">
        <v>233</v>
      </c>
      <c r="B104" s="14" t="s">
        <v>1292</v>
      </c>
      <c r="C104" s="22" t="s">
        <v>43</v>
      </c>
      <c r="D104" s="22" t="s">
        <v>43</v>
      </c>
      <c r="E104" s="22" t="s">
        <v>43</v>
      </c>
      <c r="F104" s="22" t="s">
        <v>43</v>
      </c>
      <c r="G104" s="22" t="s">
        <v>43</v>
      </c>
      <c r="H104" s="22" t="s">
        <v>43</v>
      </c>
      <c r="I104" s="22" t="s">
        <v>43</v>
      </c>
      <c r="J104" s="22" t="s">
        <v>43</v>
      </c>
      <c r="K104" s="22" t="s">
        <v>43</v>
      </c>
      <c r="L104" s="22" t="s">
        <v>43</v>
      </c>
      <c r="M104" s="22" t="s">
        <v>43</v>
      </c>
      <c r="N104" s="22" t="s">
        <v>43</v>
      </c>
      <c r="O104" s="23" t="s">
        <v>1293</v>
      </c>
      <c r="P104" s="22" t="s">
        <v>43</v>
      </c>
      <c r="Q104" s="22" t="s">
        <v>43</v>
      </c>
      <c r="R104" s="22" t="s">
        <v>968</v>
      </c>
      <c r="S104" s="24"/>
    </row>
    <row r="105" customFormat="false" ht="15" hidden="false" customHeight="false" outlineLevel="0" collapsed="false">
      <c r="A105" s="16" t="s">
        <v>233</v>
      </c>
      <c r="B105" s="14" t="s">
        <v>1294</v>
      </c>
      <c r="C105" s="22" t="s">
        <v>43</v>
      </c>
      <c r="D105" s="22" t="s">
        <v>43</v>
      </c>
      <c r="E105" s="22" t="s">
        <v>43</v>
      </c>
      <c r="F105" s="22" t="s">
        <v>43</v>
      </c>
      <c r="G105" s="22" t="s">
        <v>43</v>
      </c>
      <c r="H105" s="22" t="s">
        <v>43</v>
      </c>
      <c r="I105" s="22" t="s">
        <v>43</v>
      </c>
      <c r="J105" s="22" t="s">
        <v>43</v>
      </c>
      <c r="K105" s="22" t="s">
        <v>43</v>
      </c>
      <c r="L105" s="22" t="s">
        <v>43</v>
      </c>
      <c r="M105" s="22" t="s">
        <v>43</v>
      </c>
      <c r="N105" s="22" t="s">
        <v>43</v>
      </c>
      <c r="O105" s="23" t="s">
        <v>1295</v>
      </c>
      <c r="P105" s="22" t="s">
        <v>43</v>
      </c>
      <c r="Q105" s="22" t="s">
        <v>43</v>
      </c>
      <c r="R105" s="22" t="s">
        <v>968</v>
      </c>
      <c r="S105" s="24"/>
    </row>
    <row r="106" customFormat="false" ht="15" hidden="false" customHeight="false" outlineLevel="0" collapsed="false">
      <c r="A106" s="16" t="s">
        <v>233</v>
      </c>
      <c r="B106" s="14" t="s">
        <v>1296</v>
      </c>
      <c r="C106" s="22" t="s">
        <v>43</v>
      </c>
      <c r="D106" s="22" t="s">
        <v>43</v>
      </c>
      <c r="E106" s="22" t="s">
        <v>43</v>
      </c>
      <c r="F106" s="22" t="s">
        <v>43</v>
      </c>
      <c r="G106" s="22" t="s">
        <v>43</v>
      </c>
      <c r="H106" s="22" t="s">
        <v>43</v>
      </c>
      <c r="I106" s="22" t="s">
        <v>43</v>
      </c>
      <c r="J106" s="22" t="s">
        <v>43</v>
      </c>
      <c r="K106" s="22" t="s">
        <v>43</v>
      </c>
      <c r="L106" s="22" t="s">
        <v>43</v>
      </c>
      <c r="M106" s="22" t="s">
        <v>43</v>
      </c>
      <c r="N106" s="22" t="s">
        <v>43</v>
      </c>
      <c r="O106" s="23" t="s">
        <v>1297</v>
      </c>
      <c r="P106" s="22" t="s">
        <v>43</v>
      </c>
      <c r="Q106" s="22" t="s">
        <v>43</v>
      </c>
      <c r="R106" s="22" t="s">
        <v>968</v>
      </c>
      <c r="S106" s="24"/>
    </row>
    <row r="107" customFormat="false" ht="15" hidden="false" customHeight="false" outlineLevel="0" collapsed="false">
      <c r="A107" s="16" t="s">
        <v>233</v>
      </c>
      <c r="B107" s="14" t="s">
        <v>1298</v>
      </c>
      <c r="C107" s="22" t="s">
        <v>43</v>
      </c>
      <c r="D107" s="22" t="s">
        <v>43</v>
      </c>
      <c r="E107" s="22" t="s">
        <v>43</v>
      </c>
      <c r="F107" s="22" t="s">
        <v>43</v>
      </c>
      <c r="G107" s="22" t="s">
        <v>43</v>
      </c>
      <c r="H107" s="22" t="s">
        <v>43</v>
      </c>
      <c r="I107" s="22" t="s">
        <v>43</v>
      </c>
      <c r="J107" s="22" t="s">
        <v>43</v>
      </c>
      <c r="K107" s="22" t="s">
        <v>43</v>
      </c>
      <c r="L107" s="22" t="s">
        <v>43</v>
      </c>
      <c r="M107" s="22" t="s">
        <v>43</v>
      </c>
      <c r="N107" s="22" t="s">
        <v>43</v>
      </c>
      <c r="O107" s="23" t="s">
        <v>1299</v>
      </c>
      <c r="P107" s="22" t="s">
        <v>43</v>
      </c>
      <c r="Q107" s="22" t="s">
        <v>43</v>
      </c>
      <c r="R107" s="22" t="s">
        <v>968</v>
      </c>
      <c r="S107" s="24"/>
    </row>
    <row r="108" customFormat="false" ht="15" hidden="false" customHeight="false" outlineLevel="0" collapsed="false">
      <c r="A108" s="16" t="s">
        <v>233</v>
      </c>
      <c r="B108" s="14" t="s">
        <v>1300</v>
      </c>
      <c r="C108" s="22" t="s">
        <v>43</v>
      </c>
      <c r="D108" s="22" t="s">
        <v>43</v>
      </c>
      <c r="E108" s="22" t="s">
        <v>43</v>
      </c>
      <c r="F108" s="22" t="s">
        <v>43</v>
      </c>
      <c r="G108" s="22" t="s">
        <v>43</v>
      </c>
      <c r="H108" s="22" t="s">
        <v>43</v>
      </c>
      <c r="I108" s="22" t="s">
        <v>43</v>
      </c>
      <c r="J108" s="22" t="s">
        <v>43</v>
      </c>
      <c r="K108" s="22" t="s">
        <v>43</v>
      </c>
      <c r="L108" s="22" t="s">
        <v>43</v>
      </c>
      <c r="M108" s="22" t="s">
        <v>43</v>
      </c>
      <c r="N108" s="22" t="s">
        <v>43</v>
      </c>
      <c r="O108" s="23" t="s">
        <v>1301</v>
      </c>
      <c r="P108" s="22" t="s">
        <v>43</v>
      </c>
      <c r="Q108" s="22" t="s">
        <v>43</v>
      </c>
      <c r="R108" s="22" t="s">
        <v>968</v>
      </c>
      <c r="S108" s="24"/>
    </row>
    <row r="109" customFormat="false" ht="15" hidden="false" customHeight="false" outlineLevel="0" collapsed="false">
      <c r="A109" s="16" t="s">
        <v>233</v>
      </c>
      <c r="B109" s="14" t="s">
        <v>1302</v>
      </c>
      <c r="C109" s="22" t="s">
        <v>43</v>
      </c>
      <c r="D109" s="22" t="s">
        <v>43</v>
      </c>
      <c r="E109" s="22" t="s">
        <v>43</v>
      </c>
      <c r="F109" s="22" t="s">
        <v>43</v>
      </c>
      <c r="G109" s="22" t="s">
        <v>43</v>
      </c>
      <c r="H109" s="22" t="s">
        <v>43</v>
      </c>
      <c r="I109" s="22" t="s">
        <v>43</v>
      </c>
      <c r="J109" s="22" t="s">
        <v>43</v>
      </c>
      <c r="K109" s="23" t="s">
        <v>1158</v>
      </c>
      <c r="L109" s="22" t="s">
        <v>43</v>
      </c>
      <c r="M109" s="22" t="s">
        <v>43</v>
      </c>
      <c r="N109" s="22" t="s">
        <v>43</v>
      </c>
      <c r="O109" s="23" t="s">
        <v>1303</v>
      </c>
      <c r="P109" s="22" t="s">
        <v>43</v>
      </c>
      <c r="Q109" s="22" t="s">
        <v>43</v>
      </c>
      <c r="R109" s="22" t="s">
        <v>968</v>
      </c>
      <c r="S109" s="24"/>
    </row>
    <row r="110" customFormat="false" ht="15" hidden="false" customHeight="false" outlineLevel="0" collapsed="false">
      <c r="A110" s="16" t="s">
        <v>233</v>
      </c>
      <c r="B110" s="14" t="s">
        <v>1304</v>
      </c>
      <c r="C110" s="22" t="s">
        <v>43</v>
      </c>
      <c r="D110" s="22" t="s">
        <v>43</v>
      </c>
      <c r="E110" s="22" t="s">
        <v>43</v>
      </c>
      <c r="F110" s="22" t="s">
        <v>43</v>
      </c>
      <c r="G110" s="22" t="s">
        <v>43</v>
      </c>
      <c r="H110" s="22" t="s">
        <v>43</v>
      </c>
      <c r="I110" s="22" t="s">
        <v>43</v>
      </c>
      <c r="J110" s="22" t="s">
        <v>43</v>
      </c>
      <c r="K110" s="23" t="s">
        <v>1305</v>
      </c>
      <c r="L110" s="22" t="s">
        <v>43</v>
      </c>
      <c r="M110" s="22" t="s">
        <v>43</v>
      </c>
      <c r="N110" s="23" t="s">
        <v>1076</v>
      </c>
      <c r="O110" s="22" t="s">
        <v>43</v>
      </c>
      <c r="P110" s="22" t="s">
        <v>43</v>
      </c>
      <c r="Q110" s="22" t="s">
        <v>43</v>
      </c>
      <c r="R110" s="22" t="s">
        <v>968</v>
      </c>
      <c r="S110" s="24"/>
    </row>
    <row r="111" customFormat="false" ht="15" hidden="false" customHeight="false" outlineLevel="0" collapsed="false">
      <c r="A111" s="16" t="s">
        <v>233</v>
      </c>
      <c r="B111" s="14" t="s">
        <v>1306</v>
      </c>
      <c r="C111" s="22" t="s">
        <v>43</v>
      </c>
      <c r="D111" s="22" t="s">
        <v>43</v>
      </c>
      <c r="E111" s="22" t="s">
        <v>43</v>
      </c>
      <c r="F111" s="22" t="s">
        <v>43</v>
      </c>
      <c r="G111" s="22" t="s">
        <v>43</v>
      </c>
      <c r="H111" s="22" t="s">
        <v>43</v>
      </c>
      <c r="I111" s="22" t="s">
        <v>43</v>
      </c>
      <c r="J111" s="22" t="s">
        <v>43</v>
      </c>
      <c r="K111" s="23" t="s">
        <v>1154</v>
      </c>
      <c r="L111" s="22" t="s">
        <v>43</v>
      </c>
      <c r="M111" s="22" t="s">
        <v>43</v>
      </c>
      <c r="N111" s="22" t="s">
        <v>43</v>
      </c>
      <c r="O111" s="23" t="s">
        <v>1307</v>
      </c>
      <c r="P111" s="22" t="s">
        <v>43</v>
      </c>
      <c r="Q111" s="22" t="s">
        <v>43</v>
      </c>
      <c r="R111" s="22" t="s">
        <v>968</v>
      </c>
      <c r="S111" s="24"/>
    </row>
    <row r="112" customFormat="false" ht="15" hidden="false" customHeight="false" outlineLevel="0" collapsed="false">
      <c r="A112" s="16" t="s">
        <v>233</v>
      </c>
      <c r="B112" s="14" t="s">
        <v>1308</v>
      </c>
      <c r="C112" s="22" t="s">
        <v>43</v>
      </c>
      <c r="D112" s="22" t="s">
        <v>43</v>
      </c>
      <c r="E112" s="22" t="s">
        <v>43</v>
      </c>
      <c r="F112" s="22" t="s">
        <v>43</v>
      </c>
      <c r="G112" s="22" t="s">
        <v>43</v>
      </c>
      <c r="H112" s="22" t="s">
        <v>43</v>
      </c>
      <c r="I112" s="22" t="s">
        <v>43</v>
      </c>
      <c r="J112" s="22" t="s">
        <v>43</v>
      </c>
      <c r="K112" s="22" t="s">
        <v>43</v>
      </c>
      <c r="L112" s="22" t="s">
        <v>43</v>
      </c>
      <c r="M112" s="22" t="s">
        <v>43</v>
      </c>
      <c r="N112" s="22" t="s">
        <v>43</v>
      </c>
      <c r="O112" s="23" t="s">
        <v>1309</v>
      </c>
      <c r="P112" s="22" t="s">
        <v>43</v>
      </c>
      <c r="Q112" s="22" t="s">
        <v>43</v>
      </c>
      <c r="R112" s="22" t="s">
        <v>968</v>
      </c>
      <c r="S112" s="24"/>
    </row>
    <row r="113" customFormat="false" ht="15" hidden="false" customHeight="false" outlineLevel="0" collapsed="false">
      <c r="A113" s="16" t="s">
        <v>233</v>
      </c>
      <c r="B113" s="14" t="s">
        <v>1310</v>
      </c>
      <c r="C113" s="22" t="s">
        <v>43</v>
      </c>
      <c r="D113" s="22" t="s">
        <v>43</v>
      </c>
      <c r="E113" s="22" t="s">
        <v>43</v>
      </c>
      <c r="F113" s="22" t="s">
        <v>43</v>
      </c>
      <c r="G113" s="22" t="s">
        <v>43</v>
      </c>
      <c r="H113" s="22" t="s">
        <v>43</v>
      </c>
      <c r="I113" s="22" t="s">
        <v>43</v>
      </c>
      <c r="J113" s="22" t="s">
        <v>43</v>
      </c>
      <c r="K113" s="22" t="s">
        <v>43</v>
      </c>
      <c r="L113" s="22" t="s">
        <v>43</v>
      </c>
      <c r="M113" s="22" t="s">
        <v>43</v>
      </c>
      <c r="N113" s="23" t="s">
        <v>1311</v>
      </c>
      <c r="O113" s="23" t="s">
        <v>1312</v>
      </c>
      <c r="P113" s="22" t="s">
        <v>43</v>
      </c>
      <c r="Q113" s="22" t="s">
        <v>43</v>
      </c>
      <c r="R113" s="22" t="s">
        <v>968</v>
      </c>
      <c r="S113" s="24"/>
    </row>
    <row r="114" customFormat="false" ht="15" hidden="false" customHeight="false" outlineLevel="0" collapsed="false">
      <c r="A114" s="16" t="s">
        <v>233</v>
      </c>
      <c r="B114" s="14" t="s">
        <v>1313</v>
      </c>
      <c r="C114" s="22" t="s">
        <v>43</v>
      </c>
      <c r="D114" s="22" t="s">
        <v>43</v>
      </c>
      <c r="E114" s="22" t="s">
        <v>43</v>
      </c>
      <c r="F114" s="22" t="s">
        <v>43</v>
      </c>
      <c r="G114" s="22" t="s">
        <v>43</v>
      </c>
      <c r="H114" s="22" t="s">
        <v>43</v>
      </c>
      <c r="I114" s="22" t="s">
        <v>43</v>
      </c>
      <c r="J114" s="22" t="s">
        <v>43</v>
      </c>
      <c r="K114" s="23" t="s">
        <v>1305</v>
      </c>
      <c r="L114" s="22" t="s">
        <v>43</v>
      </c>
      <c r="M114" s="22" t="s">
        <v>43</v>
      </c>
      <c r="N114" s="22" t="s">
        <v>43</v>
      </c>
      <c r="O114" s="23" t="s">
        <v>1314</v>
      </c>
      <c r="P114" s="22" t="s">
        <v>43</v>
      </c>
      <c r="Q114" s="22" t="s">
        <v>43</v>
      </c>
      <c r="R114" s="22" t="s">
        <v>968</v>
      </c>
      <c r="S114" s="24"/>
    </row>
    <row r="115" customFormat="false" ht="15" hidden="false" customHeight="false" outlineLevel="0" collapsed="false">
      <c r="A115" s="16" t="s">
        <v>233</v>
      </c>
      <c r="B115" s="14" t="s">
        <v>1315</v>
      </c>
      <c r="C115" s="22" t="s">
        <v>43</v>
      </c>
      <c r="D115" s="22" t="s">
        <v>43</v>
      </c>
      <c r="E115" s="22" t="s">
        <v>43</v>
      </c>
      <c r="F115" s="22" t="s">
        <v>43</v>
      </c>
      <c r="G115" s="22" t="s">
        <v>43</v>
      </c>
      <c r="H115" s="22" t="s">
        <v>43</v>
      </c>
      <c r="I115" s="22" t="s">
        <v>43</v>
      </c>
      <c r="J115" s="22" t="s">
        <v>43</v>
      </c>
      <c r="K115" s="23" t="s">
        <v>1316</v>
      </c>
      <c r="L115" s="22" t="s">
        <v>43</v>
      </c>
      <c r="M115" s="22" t="s">
        <v>43</v>
      </c>
      <c r="N115" s="23" t="s">
        <v>1115</v>
      </c>
      <c r="O115" s="23" t="s">
        <v>1317</v>
      </c>
      <c r="P115" s="22" t="s">
        <v>43</v>
      </c>
      <c r="Q115" s="22" t="s">
        <v>43</v>
      </c>
      <c r="R115" s="22" t="s">
        <v>968</v>
      </c>
      <c r="S115" s="24"/>
    </row>
    <row r="116" customFormat="false" ht="15" hidden="false" customHeight="false" outlineLevel="0" collapsed="false">
      <c r="A116" s="16" t="s">
        <v>233</v>
      </c>
      <c r="B116" s="14" t="s">
        <v>1318</v>
      </c>
      <c r="C116" s="22" t="s">
        <v>43</v>
      </c>
      <c r="D116" s="22" t="s">
        <v>43</v>
      </c>
      <c r="E116" s="22" t="s">
        <v>43</v>
      </c>
      <c r="F116" s="22" t="s">
        <v>43</v>
      </c>
      <c r="G116" s="22" t="s">
        <v>43</v>
      </c>
      <c r="H116" s="22" t="s">
        <v>43</v>
      </c>
      <c r="I116" s="22" t="s">
        <v>43</v>
      </c>
      <c r="J116" s="22" t="s">
        <v>43</v>
      </c>
      <c r="K116" s="23" t="s">
        <v>1149</v>
      </c>
      <c r="L116" s="22" t="s">
        <v>43</v>
      </c>
      <c r="M116" s="22" t="s">
        <v>43</v>
      </c>
      <c r="N116" s="23" t="s">
        <v>1120</v>
      </c>
      <c r="O116" s="23" t="s">
        <v>1319</v>
      </c>
      <c r="P116" s="22" t="s">
        <v>43</v>
      </c>
      <c r="Q116" s="22" t="s">
        <v>43</v>
      </c>
      <c r="R116" s="22" t="s">
        <v>968</v>
      </c>
      <c r="S116" s="24"/>
    </row>
    <row r="117" customFormat="false" ht="15" hidden="false" customHeight="false" outlineLevel="0" collapsed="false">
      <c r="A117" s="16" t="s">
        <v>233</v>
      </c>
      <c r="B117" s="14" t="s">
        <v>1320</v>
      </c>
      <c r="C117" s="22" t="s">
        <v>43</v>
      </c>
      <c r="D117" s="22" t="s">
        <v>43</v>
      </c>
      <c r="E117" s="22" t="s">
        <v>43</v>
      </c>
      <c r="F117" s="22" t="s">
        <v>43</v>
      </c>
      <c r="G117" s="22" t="s">
        <v>43</v>
      </c>
      <c r="H117" s="22" t="s">
        <v>43</v>
      </c>
      <c r="I117" s="22" t="s">
        <v>43</v>
      </c>
      <c r="J117" s="22" t="s">
        <v>43</v>
      </c>
      <c r="K117" s="23" t="s">
        <v>1321</v>
      </c>
      <c r="L117" s="22" t="s">
        <v>43</v>
      </c>
      <c r="M117" s="22" t="s">
        <v>43</v>
      </c>
      <c r="N117" s="22" t="s">
        <v>43</v>
      </c>
      <c r="O117" s="22" t="s">
        <v>43</v>
      </c>
      <c r="P117" s="23" t="s">
        <v>1322</v>
      </c>
      <c r="Q117" s="22" t="s">
        <v>43</v>
      </c>
      <c r="R117" s="22" t="s">
        <v>968</v>
      </c>
      <c r="S117" s="24"/>
    </row>
    <row r="118" customFormat="false" ht="15" hidden="false" customHeight="false" outlineLevel="0" collapsed="false">
      <c r="A118" s="25" t="s">
        <v>1323</v>
      </c>
      <c r="B118" s="26" t="s">
        <v>1324</v>
      </c>
      <c r="C118" s="27" t="s">
        <v>43</v>
      </c>
      <c r="D118" s="27" t="s">
        <v>43</v>
      </c>
      <c r="E118" s="27" t="s">
        <v>43</v>
      </c>
      <c r="F118" s="27" t="s">
        <v>43</v>
      </c>
      <c r="G118" s="27" t="s">
        <v>43</v>
      </c>
      <c r="H118" s="27" t="s">
        <v>43</v>
      </c>
      <c r="I118" s="27" t="s">
        <v>43</v>
      </c>
      <c r="J118" s="27" t="s">
        <v>43</v>
      </c>
      <c r="K118" s="27" t="s">
        <v>43</v>
      </c>
      <c r="L118" s="27" t="s">
        <v>43</v>
      </c>
      <c r="M118" s="27" t="s">
        <v>43</v>
      </c>
      <c r="N118" s="27" t="s">
        <v>43</v>
      </c>
      <c r="O118" s="27" t="s">
        <v>43</v>
      </c>
      <c r="P118" s="27" t="s">
        <v>43</v>
      </c>
      <c r="Q118" s="27" t="s">
        <v>43</v>
      </c>
      <c r="R118" s="27" t="s">
        <v>968</v>
      </c>
      <c r="S118" s="29" t="s">
        <v>1325</v>
      </c>
    </row>
    <row r="119" customFormat="false" ht="15" hidden="false" customHeight="false" outlineLevel="0" collapsed="false">
      <c r="A119" s="16" t="s">
        <v>1323</v>
      </c>
      <c r="B119" s="14" t="s">
        <v>1326</v>
      </c>
      <c r="C119" s="22" t="s">
        <v>43</v>
      </c>
      <c r="D119" s="22" t="s">
        <v>43</v>
      </c>
      <c r="E119" s="22" t="s">
        <v>43</v>
      </c>
      <c r="F119" s="22" t="s">
        <v>43</v>
      </c>
      <c r="G119" s="22" t="s">
        <v>43</v>
      </c>
      <c r="H119" s="22" t="s">
        <v>43</v>
      </c>
      <c r="I119" s="22" t="s">
        <v>43</v>
      </c>
      <c r="J119" s="22" t="s">
        <v>43</v>
      </c>
      <c r="K119" s="22" t="s">
        <v>43</v>
      </c>
      <c r="L119" s="22" t="s">
        <v>43</v>
      </c>
      <c r="M119" s="22" t="s">
        <v>43</v>
      </c>
      <c r="N119" s="22" t="s">
        <v>43</v>
      </c>
      <c r="O119" s="22" t="s">
        <v>43</v>
      </c>
      <c r="P119" s="22" t="s">
        <v>43</v>
      </c>
      <c r="Q119" s="22" t="s">
        <v>43</v>
      </c>
      <c r="R119" s="22" t="s">
        <v>968</v>
      </c>
      <c r="S119" s="24" t="s">
        <v>1327</v>
      </c>
    </row>
    <row r="120" customFormat="false" ht="15" hidden="false" customHeight="false" outlineLevel="0" collapsed="false">
      <c r="A120" s="16" t="s">
        <v>1323</v>
      </c>
      <c r="B120" s="14" t="s">
        <v>1328</v>
      </c>
      <c r="C120" s="22" t="s">
        <v>43</v>
      </c>
      <c r="D120" s="22" t="s">
        <v>43</v>
      </c>
      <c r="E120" s="22" t="s">
        <v>43</v>
      </c>
      <c r="F120" s="22" t="s">
        <v>43</v>
      </c>
      <c r="G120" s="22" t="s">
        <v>43</v>
      </c>
      <c r="H120" s="22" t="s">
        <v>43</v>
      </c>
      <c r="I120" s="22" t="s">
        <v>43</v>
      </c>
      <c r="J120" s="22" t="s">
        <v>43</v>
      </c>
      <c r="K120" s="22" t="s">
        <v>43</v>
      </c>
      <c r="L120" s="22" t="s">
        <v>43</v>
      </c>
      <c r="M120" s="22" t="s">
        <v>43</v>
      </c>
      <c r="N120" s="23" t="s">
        <v>967</v>
      </c>
      <c r="O120" s="22" t="s">
        <v>43</v>
      </c>
      <c r="P120" s="22" t="s">
        <v>43</v>
      </c>
      <c r="Q120" s="22" t="s">
        <v>43</v>
      </c>
      <c r="R120" s="22" t="s">
        <v>968</v>
      </c>
      <c r="S120" s="24"/>
    </row>
    <row r="121" customFormat="false" ht="15" hidden="false" customHeight="false" outlineLevel="0" collapsed="false">
      <c r="A121" s="16" t="s">
        <v>1323</v>
      </c>
      <c r="B121" s="14" t="s">
        <v>1329</v>
      </c>
      <c r="C121" s="22" t="s">
        <v>43</v>
      </c>
      <c r="D121" s="22" t="s">
        <v>43</v>
      </c>
      <c r="E121" s="22" t="s">
        <v>43</v>
      </c>
      <c r="F121" s="22" t="s">
        <v>43</v>
      </c>
      <c r="G121" s="22" t="s">
        <v>43</v>
      </c>
      <c r="H121" s="22" t="s">
        <v>43</v>
      </c>
      <c r="I121" s="22" t="s">
        <v>43</v>
      </c>
      <c r="J121" s="22" t="s">
        <v>43</v>
      </c>
      <c r="K121" s="22" t="s">
        <v>43</v>
      </c>
      <c r="L121" s="22" t="s">
        <v>43</v>
      </c>
      <c r="M121" s="22" t="s">
        <v>43</v>
      </c>
      <c r="N121" s="23" t="s">
        <v>988</v>
      </c>
      <c r="O121" s="22" t="s">
        <v>43</v>
      </c>
      <c r="P121" s="22" t="s">
        <v>43</v>
      </c>
      <c r="Q121" s="22" t="s">
        <v>43</v>
      </c>
      <c r="R121" s="22" t="s">
        <v>968</v>
      </c>
      <c r="S121" s="24"/>
    </row>
    <row r="122" customFormat="false" ht="15" hidden="false" customHeight="false" outlineLevel="0" collapsed="false">
      <c r="A122" s="16" t="s">
        <v>1323</v>
      </c>
      <c r="B122" s="14" t="s">
        <v>1330</v>
      </c>
      <c r="C122" s="22" t="s">
        <v>43</v>
      </c>
      <c r="D122" s="22" t="s">
        <v>43</v>
      </c>
      <c r="E122" s="22" t="s">
        <v>43</v>
      </c>
      <c r="F122" s="22" t="s">
        <v>43</v>
      </c>
      <c r="G122" s="23" t="s">
        <v>1101</v>
      </c>
      <c r="H122" s="22" t="s">
        <v>43</v>
      </c>
      <c r="I122" s="22" t="s">
        <v>43</v>
      </c>
      <c r="J122" s="22" t="s">
        <v>43</v>
      </c>
      <c r="K122" s="22" t="s">
        <v>43</v>
      </c>
      <c r="L122" s="22" t="s">
        <v>43</v>
      </c>
      <c r="M122" s="23" t="s">
        <v>1140</v>
      </c>
      <c r="N122" s="22" t="s">
        <v>43</v>
      </c>
      <c r="O122" s="22" t="s">
        <v>43</v>
      </c>
      <c r="P122" s="22" t="s">
        <v>43</v>
      </c>
      <c r="Q122" s="22" t="s">
        <v>43</v>
      </c>
      <c r="R122" s="22" t="s">
        <v>968</v>
      </c>
      <c r="S122" s="24"/>
    </row>
    <row r="123" customFormat="false" ht="15" hidden="false" customHeight="false" outlineLevel="0" collapsed="false">
      <c r="A123" s="16" t="s">
        <v>1323</v>
      </c>
      <c r="B123" s="14" t="s">
        <v>1331</v>
      </c>
      <c r="C123" s="22" t="s">
        <v>43</v>
      </c>
      <c r="D123" s="22" t="s">
        <v>43</v>
      </c>
      <c r="E123" s="22" t="s">
        <v>43</v>
      </c>
      <c r="F123" s="22" t="s">
        <v>43</v>
      </c>
      <c r="G123" s="23" t="s">
        <v>1107</v>
      </c>
      <c r="H123" s="22" t="s">
        <v>43</v>
      </c>
      <c r="I123" s="22" t="s">
        <v>43</v>
      </c>
      <c r="J123" s="22" t="s">
        <v>43</v>
      </c>
      <c r="K123" s="22" t="s">
        <v>43</v>
      </c>
      <c r="L123" s="22" t="s">
        <v>43</v>
      </c>
      <c r="M123" s="22" t="s">
        <v>43</v>
      </c>
      <c r="N123" s="22" t="s">
        <v>43</v>
      </c>
      <c r="O123" s="22" t="s">
        <v>43</v>
      </c>
      <c r="P123" s="22" t="s">
        <v>43</v>
      </c>
      <c r="Q123" s="22" t="s">
        <v>43</v>
      </c>
      <c r="R123" s="22" t="s">
        <v>968</v>
      </c>
      <c r="S123" s="24"/>
    </row>
    <row r="124" customFormat="false" ht="15" hidden="false" customHeight="false" outlineLevel="0" collapsed="false">
      <c r="A124" s="16" t="s">
        <v>1323</v>
      </c>
      <c r="B124" s="14" t="s">
        <v>1332</v>
      </c>
      <c r="C124" s="22" t="s">
        <v>43</v>
      </c>
      <c r="D124" s="22" t="s">
        <v>43</v>
      </c>
      <c r="E124" s="22" t="s">
        <v>43</v>
      </c>
      <c r="F124" s="22" t="s">
        <v>43</v>
      </c>
      <c r="G124" s="23" t="s">
        <v>1112</v>
      </c>
      <c r="H124" s="22" t="s">
        <v>43</v>
      </c>
      <c r="I124" s="22" t="s">
        <v>43</v>
      </c>
      <c r="J124" s="22" t="s">
        <v>43</v>
      </c>
      <c r="K124" s="22" t="s">
        <v>43</v>
      </c>
      <c r="L124" s="23" t="s">
        <v>1125</v>
      </c>
      <c r="M124" s="22" t="s">
        <v>43</v>
      </c>
      <c r="N124" s="23" t="s">
        <v>1053</v>
      </c>
      <c r="O124" s="22" t="s">
        <v>43</v>
      </c>
      <c r="P124" s="22" t="s">
        <v>43</v>
      </c>
      <c r="Q124" s="22" t="s">
        <v>43</v>
      </c>
      <c r="R124" s="22" t="s">
        <v>968</v>
      </c>
      <c r="S124" s="24"/>
    </row>
    <row r="125" customFormat="false" ht="15" hidden="false" customHeight="false" outlineLevel="0" collapsed="false">
      <c r="A125" s="16" t="s">
        <v>1323</v>
      </c>
      <c r="B125" s="14" t="s">
        <v>1333</v>
      </c>
      <c r="C125" s="22" t="s">
        <v>43</v>
      </c>
      <c r="D125" s="22" t="s">
        <v>43</v>
      </c>
      <c r="E125" s="22" t="s">
        <v>43</v>
      </c>
      <c r="F125" s="22" t="s">
        <v>43</v>
      </c>
      <c r="G125" s="23" t="s">
        <v>1015</v>
      </c>
      <c r="H125" s="22" t="s">
        <v>43</v>
      </c>
      <c r="I125" s="22" t="s">
        <v>43</v>
      </c>
      <c r="J125" s="22" t="s">
        <v>43</v>
      </c>
      <c r="K125" s="22" t="s">
        <v>43</v>
      </c>
      <c r="L125" s="22" t="s">
        <v>43</v>
      </c>
      <c r="M125" s="22" t="s">
        <v>43</v>
      </c>
      <c r="N125" s="23" t="s">
        <v>1059</v>
      </c>
      <c r="O125" s="22" t="s">
        <v>43</v>
      </c>
      <c r="P125" s="22" t="s">
        <v>43</v>
      </c>
      <c r="Q125" s="22" t="s">
        <v>43</v>
      </c>
      <c r="R125" s="22" t="s">
        <v>968</v>
      </c>
      <c r="S125" s="24"/>
    </row>
    <row r="126" customFormat="false" ht="15" hidden="false" customHeight="false" outlineLevel="0" collapsed="false">
      <c r="A126" s="16" t="s">
        <v>1323</v>
      </c>
      <c r="B126" s="14" t="s">
        <v>1334</v>
      </c>
      <c r="C126" s="22" t="s">
        <v>43</v>
      </c>
      <c r="D126" s="22" t="s">
        <v>43</v>
      </c>
      <c r="E126" s="22" t="s">
        <v>43</v>
      </c>
      <c r="F126" s="22" t="s">
        <v>43</v>
      </c>
      <c r="G126" s="23" t="s">
        <v>1164</v>
      </c>
      <c r="H126" s="22" t="s">
        <v>43</v>
      </c>
      <c r="I126" s="22" t="s">
        <v>43</v>
      </c>
      <c r="J126" s="22" t="s">
        <v>43</v>
      </c>
      <c r="K126" s="22" t="s">
        <v>43</v>
      </c>
      <c r="L126" s="22" t="s">
        <v>43</v>
      </c>
      <c r="M126" s="22" t="s">
        <v>43</v>
      </c>
      <c r="N126" s="22" t="s">
        <v>43</v>
      </c>
      <c r="O126" s="22" t="s">
        <v>43</v>
      </c>
      <c r="P126" s="23" t="s">
        <v>994</v>
      </c>
      <c r="Q126" s="22" t="s">
        <v>43</v>
      </c>
      <c r="R126" s="22" t="s">
        <v>968</v>
      </c>
      <c r="S126" s="24"/>
    </row>
    <row r="127" customFormat="false" ht="15" hidden="false" customHeight="false" outlineLevel="0" collapsed="false">
      <c r="A127" s="16" t="s">
        <v>1323</v>
      </c>
      <c r="B127" s="14" t="s">
        <v>1335</v>
      </c>
      <c r="C127" s="22" t="s">
        <v>43</v>
      </c>
      <c r="D127" s="22" t="s">
        <v>43</v>
      </c>
      <c r="E127" s="22" t="s">
        <v>43</v>
      </c>
      <c r="F127" s="22" t="s">
        <v>43</v>
      </c>
      <c r="G127" s="23" t="s">
        <v>1020</v>
      </c>
      <c r="H127" s="22" t="s">
        <v>43</v>
      </c>
      <c r="I127" s="22" t="s">
        <v>43</v>
      </c>
      <c r="J127" s="22" t="s">
        <v>43</v>
      </c>
      <c r="K127" s="22" t="s">
        <v>43</v>
      </c>
      <c r="L127" s="23" t="s">
        <v>1130</v>
      </c>
      <c r="M127" s="22" t="s">
        <v>43</v>
      </c>
      <c r="N127" s="22" t="s">
        <v>43</v>
      </c>
      <c r="O127" s="22" t="s">
        <v>43</v>
      </c>
      <c r="P127" s="23" t="s">
        <v>1022</v>
      </c>
      <c r="Q127" s="22" t="s">
        <v>43</v>
      </c>
      <c r="R127" s="22" t="s">
        <v>968</v>
      </c>
      <c r="S127" s="24"/>
    </row>
    <row r="128" customFormat="false" ht="15" hidden="false" customHeight="false" outlineLevel="0" collapsed="false">
      <c r="A128" s="16" t="s">
        <v>1323</v>
      </c>
      <c r="B128" s="14" t="s">
        <v>1336</v>
      </c>
      <c r="C128" s="22" t="s">
        <v>43</v>
      </c>
      <c r="D128" s="22" t="s">
        <v>43</v>
      </c>
      <c r="E128" s="23" t="s">
        <v>963</v>
      </c>
      <c r="F128" s="22" t="s">
        <v>43</v>
      </c>
      <c r="G128" s="22" t="s">
        <v>43</v>
      </c>
      <c r="H128" s="22" t="s">
        <v>43</v>
      </c>
      <c r="I128" s="22" t="s">
        <v>43</v>
      </c>
      <c r="J128" s="22" t="s">
        <v>43</v>
      </c>
      <c r="K128" s="22" t="s">
        <v>43</v>
      </c>
      <c r="L128" s="22" t="s">
        <v>43</v>
      </c>
      <c r="M128" s="22" t="s">
        <v>43</v>
      </c>
      <c r="N128" s="22" t="s">
        <v>43</v>
      </c>
      <c r="O128" s="22" t="s">
        <v>43</v>
      </c>
      <c r="P128" s="23" t="s">
        <v>1027</v>
      </c>
      <c r="Q128" s="22" t="s">
        <v>43</v>
      </c>
      <c r="R128" s="22" t="s">
        <v>968</v>
      </c>
      <c r="S128" s="24"/>
    </row>
    <row r="129" customFormat="false" ht="15" hidden="false" customHeight="false" outlineLevel="0" collapsed="false">
      <c r="A129" s="16" t="s">
        <v>1323</v>
      </c>
      <c r="B129" s="14" t="s">
        <v>1337</v>
      </c>
      <c r="C129" s="22" t="s">
        <v>43</v>
      </c>
      <c r="D129" s="22" t="s">
        <v>43</v>
      </c>
      <c r="E129" s="23" t="s">
        <v>972</v>
      </c>
      <c r="F129" s="22" t="s">
        <v>43</v>
      </c>
      <c r="G129" s="22" t="s">
        <v>43</v>
      </c>
      <c r="H129" s="22" t="s">
        <v>43</v>
      </c>
      <c r="I129" s="22" t="s">
        <v>43</v>
      </c>
      <c r="J129" s="22" t="s">
        <v>43</v>
      </c>
      <c r="K129" s="22" t="s">
        <v>43</v>
      </c>
      <c r="L129" s="22" t="s">
        <v>43</v>
      </c>
      <c r="M129" s="22" t="s">
        <v>43</v>
      </c>
      <c r="N129" s="22" t="s">
        <v>43</v>
      </c>
      <c r="O129" s="22" t="s">
        <v>43</v>
      </c>
      <c r="P129" s="23" t="s">
        <v>1160</v>
      </c>
      <c r="Q129" s="22" t="s">
        <v>43</v>
      </c>
      <c r="R129" s="22" t="s">
        <v>968</v>
      </c>
      <c r="S129" s="24"/>
    </row>
    <row r="130" customFormat="false" ht="15" hidden="false" customHeight="false" outlineLevel="0" collapsed="false">
      <c r="A130" s="16" t="s">
        <v>1323</v>
      </c>
      <c r="B130" s="14" t="s">
        <v>1338</v>
      </c>
      <c r="C130" s="22" t="s">
        <v>43</v>
      </c>
      <c r="D130" s="22" t="s">
        <v>43</v>
      </c>
      <c r="E130" s="23" t="s">
        <v>978</v>
      </c>
      <c r="F130" s="22" t="s">
        <v>43</v>
      </c>
      <c r="G130" s="22" t="s">
        <v>43</v>
      </c>
      <c r="H130" s="22" t="s">
        <v>43</v>
      </c>
      <c r="I130" s="22" t="s">
        <v>43</v>
      </c>
      <c r="J130" s="22" t="s">
        <v>43</v>
      </c>
      <c r="K130" s="22" t="s">
        <v>43</v>
      </c>
      <c r="L130" s="22" t="s">
        <v>43</v>
      </c>
      <c r="M130" s="22" t="s">
        <v>43</v>
      </c>
      <c r="N130" s="22" t="s">
        <v>43</v>
      </c>
      <c r="O130" s="22" t="s">
        <v>43</v>
      </c>
      <c r="P130" s="23" t="s">
        <v>1167</v>
      </c>
      <c r="Q130" s="22" t="s">
        <v>43</v>
      </c>
      <c r="R130" s="22" t="s">
        <v>968</v>
      </c>
      <c r="S130" s="24"/>
    </row>
    <row r="131" customFormat="false" ht="15" hidden="false" customHeight="false" outlineLevel="0" collapsed="false">
      <c r="A131" s="16" t="s">
        <v>1323</v>
      </c>
      <c r="B131" s="14" t="s">
        <v>1339</v>
      </c>
      <c r="C131" s="22" t="s">
        <v>43</v>
      </c>
      <c r="D131" s="22" t="s">
        <v>43</v>
      </c>
      <c r="E131" s="22" t="s">
        <v>43</v>
      </c>
      <c r="F131" s="23" t="s">
        <v>996</v>
      </c>
      <c r="G131" s="22" t="s">
        <v>43</v>
      </c>
      <c r="H131" s="22" t="s">
        <v>43</v>
      </c>
      <c r="I131" s="22" t="s">
        <v>43</v>
      </c>
      <c r="J131" s="22" t="s">
        <v>43</v>
      </c>
      <c r="K131" s="22" t="s">
        <v>43</v>
      </c>
      <c r="L131" s="23" t="s">
        <v>1036</v>
      </c>
      <c r="M131" s="22" t="s">
        <v>43</v>
      </c>
      <c r="N131" s="22" t="s">
        <v>43</v>
      </c>
      <c r="O131" s="22" t="s">
        <v>43</v>
      </c>
      <c r="P131" s="22" t="s">
        <v>43</v>
      </c>
      <c r="Q131" s="22" t="s">
        <v>43</v>
      </c>
      <c r="R131" s="22" t="s">
        <v>968</v>
      </c>
      <c r="S131" s="24"/>
    </row>
    <row r="132" customFormat="false" ht="15" hidden="false" customHeight="false" outlineLevel="0" collapsed="false">
      <c r="A132" s="16" t="s">
        <v>1323</v>
      </c>
      <c r="B132" s="14" t="s">
        <v>1340</v>
      </c>
      <c r="C132" s="22" t="s">
        <v>43</v>
      </c>
      <c r="D132" s="22" t="s">
        <v>43</v>
      </c>
      <c r="E132" s="22" t="s">
        <v>43</v>
      </c>
      <c r="F132" s="23" t="s">
        <v>1051</v>
      </c>
      <c r="G132" s="22" t="s">
        <v>43</v>
      </c>
      <c r="H132" s="22" t="s">
        <v>43</v>
      </c>
      <c r="I132" s="22" t="s">
        <v>43</v>
      </c>
      <c r="J132" s="22" t="s">
        <v>43</v>
      </c>
      <c r="K132" s="22" t="s">
        <v>43</v>
      </c>
      <c r="L132" s="22" t="s">
        <v>43</v>
      </c>
      <c r="M132" s="22" t="s">
        <v>43</v>
      </c>
      <c r="N132" s="22" t="s">
        <v>43</v>
      </c>
      <c r="O132" s="22" t="s">
        <v>43</v>
      </c>
      <c r="P132" s="23" t="s">
        <v>1173</v>
      </c>
      <c r="Q132" s="22" t="s">
        <v>43</v>
      </c>
      <c r="R132" s="22" t="s">
        <v>968</v>
      </c>
      <c r="S132" s="24"/>
    </row>
    <row r="133" customFormat="false" ht="15" hidden="false" customHeight="false" outlineLevel="0" collapsed="false">
      <c r="A133" s="16" t="s">
        <v>1323</v>
      </c>
      <c r="B133" s="14" t="s">
        <v>1341</v>
      </c>
      <c r="C133" s="22" t="s">
        <v>43</v>
      </c>
      <c r="D133" s="22" t="s">
        <v>43</v>
      </c>
      <c r="E133" s="22" t="s">
        <v>43</v>
      </c>
      <c r="F133" s="23" t="s">
        <v>1057</v>
      </c>
      <c r="G133" s="22" t="s">
        <v>43</v>
      </c>
      <c r="H133" s="22" t="s">
        <v>43</v>
      </c>
      <c r="I133" s="22" t="s">
        <v>43</v>
      </c>
      <c r="J133" s="22" t="s">
        <v>43</v>
      </c>
      <c r="K133" s="22" t="s">
        <v>43</v>
      </c>
      <c r="L133" s="22" t="s">
        <v>43</v>
      </c>
      <c r="M133" s="22" t="s">
        <v>43</v>
      </c>
      <c r="N133" s="22" t="s">
        <v>43</v>
      </c>
      <c r="O133" s="22" t="s">
        <v>43</v>
      </c>
      <c r="P133" s="23" t="s">
        <v>1191</v>
      </c>
      <c r="Q133" s="22" t="s">
        <v>43</v>
      </c>
      <c r="R133" s="22" t="s">
        <v>968</v>
      </c>
      <c r="S133" s="24"/>
    </row>
    <row r="134" customFormat="false" ht="15" hidden="false" customHeight="false" outlineLevel="0" collapsed="false">
      <c r="A134" s="25" t="s">
        <v>1342</v>
      </c>
      <c r="B134" s="26" t="s">
        <v>1343</v>
      </c>
      <c r="C134" s="27" t="s">
        <v>43</v>
      </c>
      <c r="D134" s="27" t="s">
        <v>43</v>
      </c>
      <c r="E134" s="28" t="s">
        <v>984</v>
      </c>
      <c r="F134" s="27" t="s">
        <v>43</v>
      </c>
      <c r="G134" s="27" t="s">
        <v>43</v>
      </c>
      <c r="H134" s="28" t="s">
        <v>1097</v>
      </c>
      <c r="I134" s="27" t="s">
        <v>43</v>
      </c>
      <c r="J134" s="27" t="s">
        <v>43</v>
      </c>
      <c r="K134" s="27" t="s">
        <v>43</v>
      </c>
      <c r="L134" s="27" t="s">
        <v>43</v>
      </c>
      <c r="M134" s="27" t="s">
        <v>43</v>
      </c>
      <c r="N134" s="27" t="s">
        <v>43</v>
      </c>
      <c r="O134" s="27" t="s">
        <v>43</v>
      </c>
      <c r="P134" s="28" t="s">
        <v>1322</v>
      </c>
      <c r="Q134" s="27" t="s">
        <v>43</v>
      </c>
      <c r="R134" s="27" t="s">
        <v>968</v>
      </c>
      <c r="S134" s="29"/>
    </row>
    <row r="135" customFormat="false" ht="15" hidden="false" customHeight="false" outlineLevel="0" collapsed="false">
      <c r="A135" s="16" t="s">
        <v>1342</v>
      </c>
      <c r="B135" s="14" t="s">
        <v>1344</v>
      </c>
      <c r="C135" s="22" t="s">
        <v>43</v>
      </c>
      <c r="D135" s="22" t="s">
        <v>43</v>
      </c>
      <c r="E135" s="22" t="s">
        <v>43</v>
      </c>
      <c r="F135" s="22" t="s">
        <v>43</v>
      </c>
      <c r="G135" s="22" t="s">
        <v>43</v>
      </c>
      <c r="H135" s="23" t="s">
        <v>1102</v>
      </c>
      <c r="I135" s="22" t="s">
        <v>43</v>
      </c>
      <c r="J135" s="22" t="s">
        <v>43</v>
      </c>
      <c r="K135" s="22" t="s">
        <v>43</v>
      </c>
      <c r="L135" s="22" t="s">
        <v>43</v>
      </c>
      <c r="M135" s="22" t="s">
        <v>43</v>
      </c>
      <c r="N135" s="22" t="s">
        <v>43</v>
      </c>
      <c r="O135" s="22" t="s">
        <v>43</v>
      </c>
      <c r="P135" s="23" t="s">
        <v>1170</v>
      </c>
      <c r="Q135" s="22" t="s">
        <v>43</v>
      </c>
      <c r="R135" s="22" t="s">
        <v>968</v>
      </c>
      <c r="S135" s="24"/>
    </row>
    <row r="136" customFormat="false" ht="15" hidden="false" customHeight="false" outlineLevel="0" collapsed="false">
      <c r="A136" s="16" t="s">
        <v>1342</v>
      </c>
      <c r="B136" s="14" t="s">
        <v>1345</v>
      </c>
      <c r="C136" s="22" t="s">
        <v>43</v>
      </c>
      <c r="D136" s="22" t="s">
        <v>43</v>
      </c>
      <c r="E136" s="22" t="s">
        <v>43</v>
      </c>
      <c r="F136" s="23" t="s">
        <v>1163</v>
      </c>
      <c r="G136" s="22" t="s">
        <v>43</v>
      </c>
      <c r="H136" s="23" t="s">
        <v>1122</v>
      </c>
      <c r="I136" s="23" t="s">
        <v>1123</v>
      </c>
      <c r="J136" s="22" t="s">
        <v>43</v>
      </c>
      <c r="K136" s="22" t="s">
        <v>43</v>
      </c>
      <c r="L136" s="22" t="s">
        <v>43</v>
      </c>
      <c r="M136" s="22" t="s">
        <v>43</v>
      </c>
      <c r="N136" s="22" t="s">
        <v>43</v>
      </c>
      <c r="O136" s="22" t="s">
        <v>43</v>
      </c>
      <c r="P136" s="23" t="s">
        <v>1177</v>
      </c>
      <c r="Q136" s="22" t="s">
        <v>43</v>
      </c>
      <c r="R136" s="22" t="s">
        <v>968</v>
      </c>
      <c r="S136" s="24"/>
    </row>
    <row r="137" customFormat="false" ht="15" hidden="false" customHeight="false" outlineLevel="0" collapsed="false">
      <c r="A137" s="16" t="s">
        <v>1342</v>
      </c>
      <c r="B137" s="14" t="s">
        <v>1346</v>
      </c>
      <c r="C137" s="22" t="s">
        <v>43</v>
      </c>
      <c r="D137" s="22" t="s">
        <v>43</v>
      </c>
      <c r="E137" s="22" t="s">
        <v>43</v>
      </c>
      <c r="F137" s="23" t="s">
        <v>964</v>
      </c>
      <c r="G137" s="22" t="s">
        <v>43</v>
      </c>
      <c r="H137" s="23" t="s">
        <v>1129</v>
      </c>
      <c r="I137" s="22" t="s">
        <v>43</v>
      </c>
      <c r="J137" s="22" t="s">
        <v>43</v>
      </c>
      <c r="K137" s="22" t="s">
        <v>43</v>
      </c>
      <c r="L137" s="22" t="s">
        <v>43</v>
      </c>
      <c r="M137" s="22" t="s">
        <v>43</v>
      </c>
      <c r="N137" s="22" t="s">
        <v>43</v>
      </c>
      <c r="O137" s="22" t="s">
        <v>43</v>
      </c>
      <c r="P137" s="23" t="s">
        <v>1077</v>
      </c>
      <c r="Q137" s="22" t="s">
        <v>43</v>
      </c>
      <c r="R137" s="22" t="s">
        <v>968</v>
      </c>
      <c r="S137" s="24"/>
    </row>
    <row r="138" customFormat="false" ht="15" hidden="false" customHeight="false" outlineLevel="0" collapsed="false">
      <c r="A138" s="16" t="s">
        <v>1342</v>
      </c>
      <c r="B138" s="14" t="s">
        <v>1347</v>
      </c>
      <c r="C138" s="22" t="s">
        <v>43</v>
      </c>
      <c r="D138" s="22" t="s">
        <v>43</v>
      </c>
      <c r="E138" s="22" t="s">
        <v>43</v>
      </c>
      <c r="F138" s="23" t="s">
        <v>1002</v>
      </c>
      <c r="G138" s="22" t="s">
        <v>43</v>
      </c>
      <c r="H138" s="22" t="s">
        <v>43</v>
      </c>
      <c r="I138" s="22" t="s">
        <v>43</v>
      </c>
      <c r="J138" s="22" t="s">
        <v>43</v>
      </c>
      <c r="K138" s="22" t="s">
        <v>43</v>
      </c>
      <c r="L138" s="22" t="s">
        <v>43</v>
      </c>
      <c r="M138" s="22" t="s">
        <v>43</v>
      </c>
      <c r="N138" s="22" t="s">
        <v>43</v>
      </c>
      <c r="O138" s="22" t="s">
        <v>43</v>
      </c>
      <c r="P138" s="23" t="s">
        <v>1082</v>
      </c>
      <c r="Q138" s="22" t="s">
        <v>43</v>
      </c>
      <c r="R138" s="22" t="s">
        <v>968</v>
      </c>
      <c r="S138" s="24"/>
    </row>
    <row r="139" customFormat="false" ht="15" hidden="false" customHeight="false" outlineLevel="0" collapsed="false">
      <c r="A139" s="16" t="s">
        <v>1342</v>
      </c>
      <c r="B139" s="14" t="s">
        <v>1348</v>
      </c>
      <c r="C139" s="22" t="s">
        <v>43</v>
      </c>
      <c r="D139" s="22" t="s">
        <v>43</v>
      </c>
      <c r="E139" s="22" t="s">
        <v>43</v>
      </c>
      <c r="F139" s="23" t="s">
        <v>1147</v>
      </c>
      <c r="G139" s="22" t="s">
        <v>43</v>
      </c>
      <c r="H139" s="22" t="s">
        <v>43</v>
      </c>
      <c r="I139" s="22" t="s">
        <v>43</v>
      </c>
      <c r="J139" s="22" t="s">
        <v>43</v>
      </c>
      <c r="K139" s="22" t="s">
        <v>43</v>
      </c>
      <c r="L139" s="22" t="s">
        <v>43</v>
      </c>
      <c r="M139" s="22" t="s">
        <v>43</v>
      </c>
      <c r="N139" s="22" t="s">
        <v>43</v>
      </c>
      <c r="O139" s="22" t="s">
        <v>43</v>
      </c>
      <c r="P139" s="23" t="s">
        <v>1087</v>
      </c>
      <c r="Q139" s="22" t="s">
        <v>43</v>
      </c>
      <c r="R139" s="22" t="s">
        <v>968</v>
      </c>
      <c r="S139" s="24"/>
    </row>
    <row r="140" customFormat="false" ht="15" hidden="false" customHeight="false" outlineLevel="0" collapsed="false">
      <c r="A140" s="16" t="s">
        <v>1342</v>
      </c>
      <c r="B140" s="14" t="s">
        <v>1349</v>
      </c>
      <c r="C140" s="22" t="s">
        <v>43</v>
      </c>
      <c r="D140" s="22" t="s">
        <v>43</v>
      </c>
      <c r="E140" s="22" t="s">
        <v>43</v>
      </c>
      <c r="F140" s="23" t="s">
        <v>1152</v>
      </c>
      <c r="G140" s="22" t="s">
        <v>43</v>
      </c>
      <c r="H140" s="22" t="s">
        <v>43</v>
      </c>
      <c r="I140" s="22" t="s">
        <v>43</v>
      </c>
      <c r="J140" s="22" t="s">
        <v>43</v>
      </c>
      <c r="K140" s="22" t="s">
        <v>43</v>
      </c>
      <c r="L140" s="22" t="s">
        <v>43</v>
      </c>
      <c r="M140" s="22" t="s">
        <v>43</v>
      </c>
      <c r="N140" s="22" t="s">
        <v>43</v>
      </c>
      <c r="O140" s="22" t="s">
        <v>43</v>
      </c>
      <c r="P140" s="23" t="s">
        <v>1093</v>
      </c>
      <c r="Q140" s="22" t="s">
        <v>43</v>
      </c>
      <c r="R140" s="22" t="s">
        <v>968</v>
      </c>
      <c r="S140" s="24"/>
    </row>
    <row r="141" customFormat="false" ht="15" hidden="false" customHeight="false" outlineLevel="0" collapsed="false">
      <c r="A141" s="16" t="s">
        <v>1342</v>
      </c>
      <c r="B141" s="14" t="s">
        <v>1350</v>
      </c>
      <c r="C141" s="22" t="s">
        <v>43</v>
      </c>
      <c r="D141" s="22" t="s">
        <v>43</v>
      </c>
      <c r="E141" s="22" t="s">
        <v>43</v>
      </c>
      <c r="F141" s="23" t="s">
        <v>1157</v>
      </c>
      <c r="G141" s="22" t="s">
        <v>43</v>
      </c>
      <c r="H141" s="22" t="s">
        <v>43</v>
      </c>
      <c r="I141" s="22" t="s">
        <v>43</v>
      </c>
      <c r="J141" s="22" t="s">
        <v>43</v>
      </c>
      <c r="K141" s="22" t="s">
        <v>43</v>
      </c>
      <c r="L141" s="22" t="s">
        <v>43</v>
      </c>
      <c r="M141" s="22" t="s">
        <v>43</v>
      </c>
      <c r="N141" s="22" t="s">
        <v>43</v>
      </c>
      <c r="O141" s="22" t="s">
        <v>43</v>
      </c>
      <c r="P141" s="23" t="s">
        <v>1099</v>
      </c>
      <c r="Q141" s="22" t="s">
        <v>43</v>
      </c>
      <c r="R141" s="22" t="s">
        <v>968</v>
      </c>
      <c r="S141" s="24"/>
    </row>
    <row r="142" customFormat="false" ht="15" hidden="false" customHeight="false" outlineLevel="0" collapsed="false">
      <c r="A142" s="16" t="s">
        <v>1342</v>
      </c>
      <c r="B142" s="14" t="s">
        <v>1351</v>
      </c>
      <c r="C142" s="22" t="s">
        <v>43</v>
      </c>
      <c r="D142" s="22" t="s">
        <v>43</v>
      </c>
      <c r="E142" s="22" t="s">
        <v>43</v>
      </c>
      <c r="F142" s="22" t="s">
        <v>43</v>
      </c>
      <c r="G142" s="22" t="s">
        <v>43</v>
      </c>
      <c r="H142" s="22" t="s">
        <v>43</v>
      </c>
      <c r="I142" s="22" t="s">
        <v>43</v>
      </c>
      <c r="J142" s="22" t="s">
        <v>43</v>
      </c>
      <c r="K142" s="22" t="s">
        <v>43</v>
      </c>
      <c r="L142" s="22" t="s">
        <v>43</v>
      </c>
      <c r="M142" s="22" t="s">
        <v>43</v>
      </c>
      <c r="N142" s="22" t="s">
        <v>43</v>
      </c>
      <c r="O142" s="22" t="s">
        <v>43</v>
      </c>
      <c r="P142" s="22" t="s">
        <v>43</v>
      </c>
      <c r="Q142" s="22" t="s">
        <v>43</v>
      </c>
      <c r="R142" s="22" t="s">
        <v>43</v>
      </c>
      <c r="S142" s="24"/>
    </row>
    <row r="143" customFormat="false" ht="15" hidden="false" customHeight="false" outlineLevel="0" collapsed="false">
      <c r="A143" s="16" t="s">
        <v>1342</v>
      </c>
      <c r="B143" s="14" t="s">
        <v>1352</v>
      </c>
      <c r="C143" s="22" t="s">
        <v>43</v>
      </c>
      <c r="D143" s="22" t="s">
        <v>43</v>
      </c>
      <c r="E143" s="22" t="s">
        <v>43</v>
      </c>
      <c r="F143" s="22" t="s">
        <v>43</v>
      </c>
      <c r="G143" s="22" t="s">
        <v>43</v>
      </c>
      <c r="H143" s="22" t="s">
        <v>43</v>
      </c>
      <c r="I143" s="22" t="s">
        <v>43</v>
      </c>
      <c r="J143" s="22" t="s">
        <v>43</v>
      </c>
      <c r="K143" s="22" t="s">
        <v>43</v>
      </c>
      <c r="L143" s="23" t="s">
        <v>1031</v>
      </c>
      <c r="M143" s="22" t="s">
        <v>43</v>
      </c>
      <c r="N143" s="22" t="s">
        <v>43</v>
      </c>
      <c r="O143" s="22" t="s">
        <v>43</v>
      </c>
      <c r="P143" s="22" t="s">
        <v>43</v>
      </c>
      <c r="Q143" s="22" t="s">
        <v>43</v>
      </c>
      <c r="R143" s="22" t="s">
        <v>968</v>
      </c>
      <c r="S143" s="24"/>
    </row>
    <row r="144" customFormat="false" ht="15" hidden="false" customHeight="false" outlineLevel="0" collapsed="false">
      <c r="A144" s="16" t="s">
        <v>1342</v>
      </c>
      <c r="B144" s="14" t="s">
        <v>1353</v>
      </c>
      <c r="C144" s="22" t="s">
        <v>43</v>
      </c>
      <c r="D144" s="22" t="s">
        <v>43</v>
      </c>
      <c r="E144" s="22" t="s">
        <v>43</v>
      </c>
      <c r="F144" s="22" t="s">
        <v>43</v>
      </c>
      <c r="G144" s="22" t="s">
        <v>43</v>
      </c>
      <c r="H144" s="22" t="s">
        <v>43</v>
      </c>
      <c r="I144" s="22" t="s">
        <v>43</v>
      </c>
      <c r="J144" s="22" t="s">
        <v>43</v>
      </c>
      <c r="K144" s="22" t="s">
        <v>43</v>
      </c>
      <c r="L144" s="22" t="s">
        <v>43</v>
      </c>
      <c r="M144" s="22" t="s">
        <v>43</v>
      </c>
      <c r="N144" s="23" t="s">
        <v>1105</v>
      </c>
      <c r="O144" s="22" t="s">
        <v>43</v>
      </c>
      <c r="P144" s="22" t="s">
        <v>43</v>
      </c>
      <c r="Q144" s="22" t="s">
        <v>43</v>
      </c>
      <c r="R144" s="22" t="s">
        <v>968</v>
      </c>
      <c r="S144" s="24"/>
    </row>
    <row r="145" customFormat="false" ht="15" hidden="false" customHeight="false" outlineLevel="0" collapsed="false">
      <c r="A145" s="16" t="s">
        <v>1342</v>
      </c>
      <c r="B145" s="14" t="s">
        <v>1354</v>
      </c>
      <c r="C145" s="22" t="s">
        <v>43</v>
      </c>
      <c r="D145" s="22" t="s">
        <v>43</v>
      </c>
      <c r="E145" s="22" t="s">
        <v>43</v>
      </c>
      <c r="F145" s="22" t="s">
        <v>43</v>
      </c>
      <c r="G145" s="22" t="s">
        <v>43</v>
      </c>
      <c r="H145" s="22" t="s">
        <v>43</v>
      </c>
      <c r="I145" s="22" t="s">
        <v>43</v>
      </c>
      <c r="J145" s="22" t="s">
        <v>43</v>
      </c>
      <c r="K145" s="22" t="s">
        <v>43</v>
      </c>
      <c r="L145" s="22" t="s">
        <v>43</v>
      </c>
      <c r="M145" s="23" t="s">
        <v>1137</v>
      </c>
      <c r="N145" s="22" t="s">
        <v>43</v>
      </c>
      <c r="O145" s="22" t="s">
        <v>43</v>
      </c>
      <c r="P145" s="22" t="s">
        <v>43</v>
      </c>
      <c r="Q145" s="22" t="s">
        <v>43</v>
      </c>
      <c r="R145" s="22" t="s">
        <v>968</v>
      </c>
      <c r="S145" s="24"/>
    </row>
  </sheetData>
  <autoFilter ref="A5:S1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1355</v>
      </c>
    </row>
    <row r="2" customFormat="false" ht="15" hidden="false" customHeight="false" outlineLevel="0" collapsed="false">
      <c r="A2" s="2" t="s">
        <v>1356</v>
      </c>
    </row>
    <row r="4" customFormat="false" ht="15" hidden="false" customHeight="false" outlineLevel="0" collapsed="false">
      <c r="A4" s="5" t="s">
        <v>1357</v>
      </c>
      <c r="B4" s="5" t="s">
        <v>5</v>
      </c>
      <c r="C4" s="5" t="s">
        <v>929</v>
      </c>
      <c r="D4" s="5" t="s">
        <v>1358</v>
      </c>
      <c r="E4" s="5" t="s">
        <v>1359</v>
      </c>
    </row>
    <row r="5" customFormat="false" ht="15" hidden="false" customHeight="false" outlineLevel="0" collapsed="false">
      <c r="A5" s="6" t="s">
        <v>1031</v>
      </c>
      <c r="B5" s="6" t="s">
        <v>343</v>
      </c>
      <c r="C5" s="6" t="s">
        <v>1028</v>
      </c>
      <c r="D5" s="30" t="n">
        <v>9</v>
      </c>
      <c r="E5" s="6" t="s">
        <v>600</v>
      </c>
    </row>
    <row r="6" customFormat="false" ht="15" hidden="false" customHeight="false" outlineLevel="0" collapsed="false">
      <c r="A6" s="6" t="s">
        <v>1031</v>
      </c>
      <c r="B6" s="6" t="s">
        <v>343</v>
      </c>
      <c r="C6" s="6" t="s">
        <v>1088</v>
      </c>
      <c r="D6" s="30" t="n">
        <v>9</v>
      </c>
      <c r="E6" s="6" t="s">
        <v>600</v>
      </c>
    </row>
    <row r="7" customFormat="false" ht="15" hidden="false" customHeight="false" outlineLevel="0" collapsed="false">
      <c r="A7" s="6" t="s">
        <v>1031</v>
      </c>
      <c r="B7" s="6" t="s">
        <v>343</v>
      </c>
      <c r="C7" s="6" t="s">
        <v>1183</v>
      </c>
      <c r="D7" s="30" t="n">
        <v>9</v>
      </c>
      <c r="E7" s="6" t="s">
        <v>596</v>
      </c>
    </row>
    <row r="8" customFormat="false" ht="15" hidden="false" customHeight="false" outlineLevel="0" collapsed="false">
      <c r="A8" s="6" t="s">
        <v>1031</v>
      </c>
      <c r="B8" s="6" t="s">
        <v>343</v>
      </c>
      <c r="C8" s="6" t="s">
        <v>1352</v>
      </c>
      <c r="D8" s="30" t="n">
        <v>9</v>
      </c>
      <c r="E8" s="6" t="s">
        <v>600</v>
      </c>
    </row>
    <row r="9" customFormat="false" ht="15" hidden="false" customHeight="false" outlineLevel="0" collapsed="false">
      <c r="A9" s="6" t="s">
        <v>1036</v>
      </c>
      <c r="B9" s="6" t="s">
        <v>343</v>
      </c>
      <c r="C9" s="6" t="s">
        <v>1033</v>
      </c>
      <c r="D9" s="30" t="n">
        <v>9</v>
      </c>
      <c r="E9" s="6" t="s">
        <v>600</v>
      </c>
    </row>
    <row r="10" customFormat="false" ht="15" hidden="false" customHeight="false" outlineLevel="0" collapsed="false">
      <c r="A10" s="6" t="s">
        <v>1036</v>
      </c>
      <c r="B10" s="6" t="s">
        <v>343</v>
      </c>
      <c r="C10" s="6" t="s">
        <v>1094</v>
      </c>
      <c r="D10" s="30" t="n">
        <v>9</v>
      </c>
      <c r="E10" s="6" t="s">
        <v>600</v>
      </c>
    </row>
    <row r="11" customFormat="false" ht="15" hidden="false" customHeight="false" outlineLevel="0" collapsed="false">
      <c r="A11" s="6" t="s">
        <v>1036</v>
      </c>
      <c r="B11" s="6" t="s">
        <v>343</v>
      </c>
      <c r="C11" s="6" t="s">
        <v>1185</v>
      </c>
      <c r="D11" s="30" t="n">
        <v>9</v>
      </c>
      <c r="E11" s="6" t="s">
        <v>596</v>
      </c>
    </row>
    <row r="12" customFormat="false" ht="15" hidden="false" customHeight="false" outlineLevel="0" collapsed="false">
      <c r="A12" s="6" t="s">
        <v>1036</v>
      </c>
      <c r="B12" s="6" t="s">
        <v>343</v>
      </c>
      <c r="C12" s="6" t="s">
        <v>1339</v>
      </c>
      <c r="D12" s="30" t="n">
        <v>9</v>
      </c>
      <c r="E12" s="6" t="s">
        <v>600</v>
      </c>
    </row>
    <row r="13" customFormat="false" ht="15" hidden="false" customHeight="false" outlineLevel="0" collapsed="false">
      <c r="A13" s="6" t="s">
        <v>1074</v>
      </c>
      <c r="B13" s="6" t="s">
        <v>338</v>
      </c>
      <c r="C13" s="6" t="s">
        <v>1071</v>
      </c>
      <c r="D13" s="30" t="n">
        <v>9</v>
      </c>
      <c r="E13" s="6" t="s">
        <v>596</v>
      </c>
    </row>
    <row r="14" customFormat="false" ht="15" hidden="false" customHeight="false" outlineLevel="0" collapsed="false">
      <c r="A14" s="6" t="s">
        <v>1074</v>
      </c>
      <c r="B14" s="6" t="s">
        <v>338</v>
      </c>
      <c r="C14" s="6" t="s">
        <v>1111</v>
      </c>
      <c r="D14" s="30" t="n">
        <v>9</v>
      </c>
      <c r="E14" s="6" t="s">
        <v>600</v>
      </c>
    </row>
    <row r="15" customFormat="false" ht="15" hidden="false" customHeight="false" outlineLevel="0" collapsed="false">
      <c r="A15" s="6" t="s">
        <v>1081</v>
      </c>
      <c r="B15" s="6" t="s">
        <v>338</v>
      </c>
      <c r="C15" s="6" t="s">
        <v>1078</v>
      </c>
      <c r="D15" s="30" t="n">
        <v>9</v>
      </c>
      <c r="E15" s="6" t="s">
        <v>596</v>
      </c>
    </row>
    <row r="16" customFormat="false" ht="15" hidden="false" customHeight="false" outlineLevel="0" collapsed="false">
      <c r="A16" s="6" t="s">
        <v>1081</v>
      </c>
      <c r="B16" s="6" t="s">
        <v>338</v>
      </c>
      <c r="C16" s="6" t="s">
        <v>1117</v>
      </c>
      <c r="D16" s="30" t="n">
        <v>9</v>
      </c>
      <c r="E16" s="6" t="s">
        <v>600</v>
      </c>
    </row>
    <row r="17" customFormat="false" ht="15" hidden="false" customHeight="false" outlineLevel="0" collapsed="false">
      <c r="A17" s="6" t="s">
        <v>1022</v>
      </c>
      <c r="B17" s="6" t="s">
        <v>172</v>
      </c>
      <c r="C17" s="6" t="s">
        <v>1018</v>
      </c>
      <c r="D17" s="30" t="n">
        <v>13</v>
      </c>
      <c r="E17" s="6" t="s">
        <v>600</v>
      </c>
    </row>
    <row r="18" customFormat="false" ht="15" hidden="false" customHeight="false" outlineLevel="0" collapsed="false">
      <c r="A18" s="6" t="s">
        <v>1022</v>
      </c>
      <c r="B18" s="6" t="s">
        <v>172</v>
      </c>
      <c r="C18" s="6" t="s">
        <v>1146</v>
      </c>
      <c r="D18" s="30" t="n">
        <v>13</v>
      </c>
      <c r="E18" s="6" t="s">
        <v>596</v>
      </c>
    </row>
    <row r="19" customFormat="false" ht="15" hidden="false" customHeight="false" outlineLevel="0" collapsed="false">
      <c r="A19" s="6" t="s">
        <v>1022</v>
      </c>
      <c r="B19" s="6" t="s">
        <v>172</v>
      </c>
      <c r="C19" s="6" t="s">
        <v>1335</v>
      </c>
      <c r="D19" s="30" t="n">
        <v>13</v>
      </c>
      <c r="E19" s="6" t="s">
        <v>600</v>
      </c>
    </row>
    <row r="20" customFormat="false" ht="15" hidden="false" customHeight="false" outlineLevel="0" collapsed="false">
      <c r="A20" s="6" t="s">
        <v>1027</v>
      </c>
      <c r="B20" s="6" t="s">
        <v>172</v>
      </c>
      <c r="C20" s="6" t="s">
        <v>1023</v>
      </c>
      <c r="D20" s="30" t="n">
        <v>13</v>
      </c>
      <c r="E20" s="6" t="s">
        <v>600</v>
      </c>
    </row>
    <row r="21" customFormat="false" ht="15" hidden="false" customHeight="false" outlineLevel="0" collapsed="false">
      <c r="A21" s="6" t="s">
        <v>1027</v>
      </c>
      <c r="B21" s="6" t="s">
        <v>172</v>
      </c>
      <c r="C21" s="6" t="s">
        <v>1151</v>
      </c>
      <c r="D21" s="30" t="n">
        <v>13</v>
      </c>
      <c r="E21" s="6" t="s">
        <v>596</v>
      </c>
    </row>
    <row r="22" customFormat="false" ht="15" hidden="false" customHeight="false" outlineLevel="0" collapsed="false">
      <c r="A22" s="6" t="s">
        <v>1027</v>
      </c>
      <c r="B22" s="6" t="s">
        <v>172</v>
      </c>
      <c r="C22" s="6" t="s">
        <v>1336</v>
      </c>
      <c r="D22" s="30" t="n">
        <v>13</v>
      </c>
      <c r="E22" s="6" t="s">
        <v>600</v>
      </c>
    </row>
    <row r="23" customFormat="false" ht="15" hidden="false" customHeight="false" outlineLevel="0" collapsed="false">
      <c r="A23" s="6" t="s">
        <v>1077</v>
      </c>
      <c r="B23" s="6" t="s">
        <v>172</v>
      </c>
      <c r="C23" s="6" t="s">
        <v>1071</v>
      </c>
      <c r="D23" s="30" t="n">
        <v>13</v>
      </c>
      <c r="E23" s="6" t="s">
        <v>596</v>
      </c>
    </row>
    <row r="24" customFormat="false" ht="15" hidden="false" customHeight="false" outlineLevel="0" collapsed="false">
      <c r="A24" s="6" t="s">
        <v>1077</v>
      </c>
      <c r="B24" s="6" t="s">
        <v>172</v>
      </c>
      <c r="C24" s="6" t="s">
        <v>1346</v>
      </c>
      <c r="D24" s="30" t="n">
        <v>13</v>
      </c>
      <c r="E24" s="6" t="s">
        <v>596</v>
      </c>
    </row>
    <row r="25" customFormat="false" ht="15" hidden="false" customHeight="false" outlineLevel="0" collapsed="false">
      <c r="A25" s="6" t="s">
        <v>1191</v>
      </c>
      <c r="B25" s="6" t="s">
        <v>172</v>
      </c>
      <c r="C25" s="6" t="s">
        <v>1187</v>
      </c>
      <c r="D25" s="30" t="n">
        <v>13</v>
      </c>
      <c r="E25" s="6" t="s">
        <v>596</v>
      </c>
    </row>
    <row r="26" customFormat="false" ht="15" hidden="false" customHeight="false" outlineLevel="0" collapsed="false">
      <c r="A26" s="6" t="s">
        <v>1191</v>
      </c>
      <c r="B26" s="6" t="s">
        <v>172</v>
      </c>
      <c r="C26" s="6" t="s">
        <v>1341</v>
      </c>
      <c r="D26" s="30" t="n">
        <v>13</v>
      </c>
      <c r="E26" s="6" t="s">
        <v>600</v>
      </c>
    </row>
    <row r="27" customFormat="false" ht="15" hidden="false" customHeight="false" outlineLevel="0" collapsed="false">
      <c r="A27" s="6" t="s">
        <v>1279</v>
      </c>
      <c r="B27" s="6" t="s">
        <v>172</v>
      </c>
      <c r="C27" s="6" t="s">
        <v>1278</v>
      </c>
      <c r="D27" s="30" t="n">
        <v>13</v>
      </c>
      <c r="E27" s="6" t="s">
        <v>600</v>
      </c>
    </row>
    <row r="28" customFormat="false" ht="15" hidden="false" customHeight="false" outlineLevel="0" collapsed="false">
      <c r="A28" s="6" t="s">
        <v>1322</v>
      </c>
      <c r="B28" s="6" t="s">
        <v>172</v>
      </c>
      <c r="C28" s="6" t="s">
        <v>1320</v>
      </c>
      <c r="D28" s="30" t="n">
        <v>13</v>
      </c>
      <c r="E28" s="6" t="s">
        <v>600</v>
      </c>
    </row>
    <row r="29" customFormat="false" ht="15" hidden="false" customHeight="false" outlineLevel="0" collapsed="false">
      <c r="A29" s="6" t="s">
        <v>1322</v>
      </c>
      <c r="B29" s="6" t="s">
        <v>172</v>
      </c>
      <c r="C29" s="6" t="s">
        <v>1343</v>
      </c>
      <c r="D29" s="30" t="n">
        <v>13</v>
      </c>
      <c r="E29" s="6" t="s">
        <v>596</v>
      </c>
    </row>
    <row r="30" customFormat="false" ht="15" hidden="false" customHeight="false" outlineLevel="0" collapsed="false">
      <c r="A30" s="6" t="s">
        <v>1160</v>
      </c>
      <c r="B30" s="6" t="s">
        <v>172</v>
      </c>
      <c r="C30" s="6" t="s">
        <v>1156</v>
      </c>
      <c r="D30" s="30" t="n">
        <v>13</v>
      </c>
      <c r="E30" s="6" t="s">
        <v>600</v>
      </c>
    </row>
    <row r="31" customFormat="false" ht="15" hidden="false" customHeight="false" outlineLevel="0" collapsed="false">
      <c r="A31" s="6" t="s">
        <v>1160</v>
      </c>
      <c r="B31" s="6" t="s">
        <v>172</v>
      </c>
      <c r="C31" s="6" t="s">
        <v>1218</v>
      </c>
      <c r="D31" s="30" t="n">
        <v>13</v>
      </c>
      <c r="E31" s="6" t="s">
        <v>596</v>
      </c>
    </row>
    <row r="32" customFormat="false" ht="15" hidden="false" customHeight="false" outlineLevel="0" collapsed="false">
      <c r="A32" s="6" t="s">
        <v>1160</v>
      </c>
      <c r="B32" s="6" t="s">
        <v>172</v>
      </c>
      <c r="C32" s="6" t="s">
        <v>1337</v>
      </c>
      <c r="D32" s="30" t="n">
        <v>13</v>
      </c>
      <c r="E32" s="6" t="s">
        <v>600</v>
      </c>
    </row>
    <row r="33" customFormat="false" ht="15" hidden="false" customHeight="false" outlineLevel="0" collapsed="false">
      <c r="A33" s="6" t="s">
        <v>1167</v>
      </c>
      <c r="B33" s="6" t="s">
        <v>172</v>
      </c>
      <c r="C33" s="6" t="s">
        <v>1161</v>
      </c>
      <c r="D33" s="30" t="n">
        <v>13</v>
      </c>
      <c r="E33" s="6" t="s">
        <v>600</v>
      </c>
    </row>
    <row r="34" customFormat="false" ht="15" hidden="false" customHeight="false" outlineLevel="0" collapsed="false">
      <c r="A34" s="6" t="s">
        <v>1167</v>
      </c>
      <c r="B34" s="6" t="s">
        <v>172</v>
      </c>
      <c r="C34" s="6" t="s">
        <v>1221</v>
      </c>
      <c r="D34" s="30" t="n">
        <v>13</v>
      </c>
      <c r="E34" s="6" t="s">
        <v>596</v>
      </c>
    </row>
    <row r="35" customFormat="false" ht="15" hidden="false" customHeight="false" outlineLevel="0" collapsed="false">
      <c r="A35" s="6" t="s">
        <v>1167</v>
      </c>
      <c r="B35" s="6" t="s">
        <v>172</v>
      </c>
      <c r="C35" s="6" t="s">
        <v>1338</v>
      </c>
      <c r="D35" s="30" t="n">
        <v>13</v>
      </c>
      <c r="E35" s="6" t="s">
        <v>600</v>
      </c>
    </row>
    <row r="36" customFormat="false" ht="15" hidden="false" customHeight="false" outlineLevel="0" collapsed="false">
      <c r="A36" s="6" t="s">
        <v>1173</v>
      </c>
      <c r="B36" s="6" t="s">
        <v>172</v>
      </c>
      <c r="C36" s="6" t="s">
        <v>1171</v>
      </c>
      <c r="D36" s="30" t="n">
        <v>13</v>
      </c>
      <c r="E36" s="6" t="s">
        <v>600</v>
      </c>
    </row>
    <row r="37" customFormat="false" ht="15" hidden="false" customHeight="false" outlineLevel="0" collapsed="false">
      <c r="A37" s="6" t="s">
        <v>1173</v>
      </c>
      <c r="B37" s="6" t="s">
        <v>172</v>
      </c>
      <c r="C37" s="6" t="s">
        <v>1229</v>
      </c>
      <c r="D37" s="30" t="n">
        <v>13</v>
      </c>
      <c r="E37" s="6" t="s">
        <v>596</v>
      </c>
    </row>
    <row r="38" customFormat="false" ht="15" hidden="false" customHeight="false" outlineLevel="0" collapsed="false">
      <c r="A38" s="6" t="s">
        <v>1173</v>
      </c>
      <c r="B38" s="6" t="s">
        <v>172</v>
      </c>
      <c r="C38" s="6" t="s">
        <v>1340</v>
      </c>
      <c r="D38" s="30" t="n">
        <v>13</v>
      </c>
      <c r="E38" s="6" t="s">
        <v>600</v>
      </c>
    </row>
    <row r="39" customFormat="false" ht="15" hidden="false" customHeight="false" outlineLevel="0" collapsed="false">
      <c r="A39" s="6" t="s">
        <v>1082</v>
      </c>
      <c r="B39" s="6" t="s">
        <v>172</v>
      </c>
      <c r="C39" s="6" t="s">
        <v>1078</v>
      </c>
      <c r="D39" s="30" t="n">
        <v>13</v>
      </c>
      <c r="E39" s="6" t="s">
        <v>596</v>
      </c>
    </row>
    <row r="40" customFormat="false" ht="15" hidden="false" customHeight="false" outlineLevel="0" collapsed="false">
      <c r="A40" s="6" t="s">
        <v>1082</v>
      </c>
      <c r="B40" s="6" t="s">
        <v>172</v>
      </c>
      <c r="C40" s="6" t="s">
        <v>1347</v>
      </c>
      <c r="D40" s="30" t="n">
        <v>13</v>
      </c>
      <c r="E40" s="6" t="s">
        <v>596</v>
      </c>
    </row>
    <row r="41" customFormat="false" ht="15" hidden="false" customHeight="false" outlineLevel="0" collapsed="false">
      <c r="A41" s="6" t="s">
        <v>1093</v>
      </c>
      <c r="B41" s="6" t="s">
        <v>172</v>
      </c>
      <c r="C41" s="6" t="s">
        <v>1088</v>
      </c>
      <c r="D41" s="30" t="n">
        <v>13</v>
      </c>
      <c r="E41" s="6" t="s">
        <v>600</v>
      </c>
    </row>
    <row r="42" customFormat="false" ht="15" hidden="false" customHeight="false" outlineLevel="0" collapsed="false">
      <c r="A42" s="6" t="s">
        <v>1093</v>
      </c>
      <c r="B42" s="6" t="s">
        <v>172</v>
      </c>
      <c r="C42" s="6" t="s">
        <v>1232</v>
      </c>
      <c r="D42" s="30" t="n">
        <v>13</v>
      </c>
      <c r="E42" s="6" t="s">
        <v>596</v>
      </c>
    </row>
    <row r="43" customFormat="false" ht="15" hidden="false" customHeight="false" outlineLevel="0" collapsed="false">
      <c r="A43" s="6" t="s">
        <v>1093</v>
      </c>
      <c r="B43" s="6" t="s">
        <v>172</v>
      </c>
      <c r="C43" s="6" t="s">
        <v>1349</v>
      </c>
      <c r="D43" s="30" t="n">
        <v>13</v>
      </c>
      <c r="E43" s="6" t="s">
        <v>596</v>
      </c>
    </row>
    <row r="44" customFormat="false" ht="15" hidden="false" customHeight="false" outlineLevel="0" collapsed="false">
      <c r="A44" s="6" t="s">
        <v>1099</v>
      </c>
      <c r="B44" s="6" t="s">
        <v>172</v>
      </c>
      <c r="C44" s="6" t="s">
        <v>1094</v>
      </c>
      <c r="D44" s="30" t="n">
        <v>13</v>
      </c>
      <c r="E44" s="6" t="s">
        <v>600</v>
      </c>
    </row>
    <row r="45" customFormat="false" ht="15" hidden="false" customHeight="false" outlineLevel="0" collapsed="false">
      <c r="A45" s="6" t="s">
        <v>1099</v>
      </c>
      <c r="B45" s="6" t="s">
        <v>172</v>
      </c>
      <c r="C45" s="6" t="s">
        <v>1235</v>
      </c>
      <c r="D45" s="30" t="n">
        <v>13</v>
      </c>
      <c r="E45" s="6" t="s">
        <v>596</v>
      </c>
    </row>
    <row r="46" customFormat="false" ht="15" hidden="false" customHeight="false" outlineLevel="0" collapsed="false">
      <c r="A46" s="6" t="s">
        <v>1099</v>
      </c>
      <c r="B46" s="6" t="s">
        <v>172</v>
      </c>
      <c r="C46" s="6" t="s">
        <v>1350</v>
      </c>
      <c r="D46" s="30" t="n">
        <v>13</v>
      </c>
      <c r="E46" s="6" t="s">
        <v>596</v>
      </c>
    </row>
    <row r="47" customFormat="false" ht="15" hidden="false" customHeight="false" outlineLevel="0" collapsed="false">
      <c r="A47" s="6" t="s">
        <v>1170</v>
      </c>
      <c r="B47" s="6" t="s">
        <v>172</v>
      </c>
      <c r="C47" s="6" t="s">
        <v>1168</v>
      </c>
      <c r="D47" s="30" t="n">
        <v>13</v>
      </c>
      <c r="E47" s="6" t="s">
        <v>600</v>
      </c>
    </row>
    <row r="48" customFormat="false" ht="15" hidden="false" customHeight="false" outlineLevel="0" collapsed="false">
      <c r="A48" s="6" t="s">
        <v>1170</v>
      </c>
      <c r="B48" s="6" t="s">
        <v>172</v>
      </c>
      <c r="C48" s="6" t="s">
        <v>1344</v>
      </c>
      <c r="D48" s="30" t="n">
        <v>13</v>
      </c>
      <c r="E48" s="6" t="s">
        <v>596</v>
      </c>
    </row>
    <row r="49" customFormat="false" ht="15" hidden="false" customHeight="false" outlineLevel="0" collapsed="false">
      <c r="A49" s="6" t="s">
        <v>1177</v>
      </c>
      <c r="B49" s="6" t="s">
        <v>172</v>
      </c>
      <c r="C49" s="6" t="s">
        <v>1174</v>
      </c>
      <c r="D49" s="30" t="n">
        <v>13</v>
      </c>
      <c r="E49" s="6" t="s">
        <v>600</v>
      </c>
    </row>
    <row r="50" customFormat="false" ht="15" hidden="false" customHeight="false" outlineLevel="0" collapsed="false">
      <c r="A50" s="6" t="s">
        <v>1177</v>
      </c>
      <c r="B50" s="6" t="s">
        <v>172</v>
      </c>
      <c r="C50" s="6" t="s">
        <v>1345</v>
      </c>
      <c r="D50" s="30" t="n">
        <v>13</v>
      </c>
      <c r="E50" s="6" t="s">
        <v>596</v>
      </c>
    </row>
    <row r="51" customFormat="false" ht="15" hidden="false" customHeight="false" outlineLevel="0" collapsed="false">
      <c r="A51" s="6" t="s">
        <v>994</v>
      </c>
      <c r="B51" s="6" t="s">
        <v>172</v>
      </c>
      <c r="C51" s="6" t="s">
        <v>989</v>
      </c>
      <c r="D51" s="30" t="n">
        <v>13</v>
      </c>
      <c r="E51" s="6" t="s">
        <v>596</v>
      </c>
    </row>
    <row r="52" customFormat="false" ht="15" hidden="false" customHeight="false" outlineLevel="0" collapsed="false">
      <c r="A52" s="6" t="s">
        <v>994</v>
      </c>
      <c r="B52" s="6" t="s">
        <v>172</v>
      </c>
      <c r="C52" s="6" t="s">
        <v>1334</v>
      </c>
      <c r="D52" s="30" t="n">
        <v>13</v>
      </c>
      <c r="E52" s="6" t="s">
        <v>600</v>
      </c>
    </row>
    <row r="53" customFormat="false" ht="15" hidden="false" customHeight="false" outlineLevel="0" collapsed="false">
      <c r="A53" s="6" t="s">
        <v>1005</v>
      </c>
      <c r="B53" s="6" t="s">
        <v>172</v>
      </c>
      <c r="C53" s="6" t="s">
        <v>999</v>
      </c>
      <c r="D53" s="30" t="n">
        <v>13</v>
      </c>
      <c r="E53" s="6" t="s">
        <v>596</v>
      </c>
    </row>
    <row r="54" customFormat="false" ht="15" hidden="false" customHeight="false" outlineLevel="0" collapsed="false">
      <c r="A54" s="6" t="s">
        <v>1087</v>
      </c>
      <c r="B54" s="6" t="s">
        <v>172</v>
      </c>
      <c r="C54" s="6" t="s">
        <v>1083</v>
      </c>
      <c r="D54" s="30" t="n">
        <v>13</v>
      </c>
      <c r="E54" s="6" t="s">
        <v>596</v>
      </c>
    </row>
    <row r="55" customFormat="false" ht="15" hidden="false" customHeight="false" outlineLevel="0" collapsed="false">
      <c r="A55" s="6" t="s">
        <v>1087</v>
      </c>
      <c r="B55" s="6" t="s">
        <v>172</v>
      </c>
      <c r="C55" s="6" t="s">
        <v>1348</v>
      </c>
      <c r="D55" s="30" t="n">
        <v>13</v>
      </c>
      <c r="E55" s="6" t="s">
        <v>596</v>
      </c>
    </row>
    <row r="56" customFormat="false" ht="15" hidden="false" customHeight="false" outlineLevel="0" collapsed="false">
      <c r="A56" s="6" t="s">
        <v>1135</v>
      </c>
      <c r="B56" s="6" t="s">
        <v>959</v>
      </c>
      <c r="C56" s="6" t="s">
        <v>1134</v>
      </c>
      <c r="D56" s="30" t="n">
        <v>11</v>
      </c>
      <c r="E56" s="6" t="s">
        <v>596</v>
      </c>
    </row>
    <row r="57" customFormat="false" ht="15" hidden="false" customHeight="false" outlineLevel="0" collapsed="false">
      <c r="A57" s="6" t="s">
        <v>981</v>
      </c>
      <c r="B57" s="6" t="s">
        <v>959</v>
      </c>
      <c r="C57" s="6" t="s">
        <v>976</v>
      </c>
      <c r="D57" s="30" t="n">
        <v>11</v>
      </c>
      <c r="E57" s="6" t="s">
        <v>596</v>
      </c>
    </row>
    <row r="58" customFormat="false" ht="15" hidden="false" customHeight="false" outlineLevel="0" collapsed="false">
      <c r="A58" s="6" t="s">
        <v>988</v>
      </c>
      <c r="B58" s="6" t="s">
        <v>959</v>
      </c>
      <c r="C58" s="6" t="s">
        <v>982</v>
      </c>
      <c r="D58" s="30" t="n">
        <v>11</v>
      </c>
      <c r="E58" s="6" t="s">
        <v>596</v>
      </c>
    </row>
    <row r="59" customFormat="false" ht="15" hidden="false" customHeight="false" outlineLevel="0" collapsed="false">
      <c r="A59" s="6" t="s">
        <v>988</v>
      </c>
      <c r="B59" s="6" t="s">
        <v>959</v>
      </c>
      <c r="C59" s="6" t="s">
        <v>1329</v>
      </c>
      <c r="D59" s="30" t="n">
        <v>11</v>
      </c>
      <c r="E59" s="6" t="s">
        <v>596</v>
      </c>
    </row>
    <row r="60" customFormat="false" ht="15" hidden="false" customHeight="false" outlineLevel="0" collapsed="false">
      <c r="A60" s="6" t="s">
        <v>967</v>
      </c>
      <c r="B60" s="6" t="s">
        <v>959</v>
      </c>
      <c r="C60" s="6" t="s">
        <v>961</v>
      </c>
      <c r="D60" s="30" t="n">
        <v>11</v>
      </c>
      <c r="E60" s="6" t="s">
        <v>596</v>
      </c>
    </row>
    <row r="61" customFormat="false" ht="15" hidden="false" customHeight="false" outlineLevel="0" collapsed="false">
      <c r="A61" s="6" t="s">
        <v>967</v>
      </c>
      <c r="B61" s="6" t="s">
        <v>959</v>
      </c>
      <c r="C61" s="6" t="s">
        <v>1328</v>
      </c>
      <c r="D61" s="30" t="n">
        <v>11</v>
      </c>
      <c r="E61" s="6" t="s">
        <v>596</v>
      </c>
    </row>
    <row r="62" customFormat="false" ht="15" hidden="false" customHeight="false" outlineLevel="0" collapsed="false">
      <c r="A62" s="6" t="s">
        <v>1360</v>
      </c>
      <c r="B62" s="6" t="s">
        <v>959</v>
      </c>
      <c r="C62" s="6" t="s">
        <v>1142</v>
      </c>
      <c r="D62" s="30" t="n">
        <v>11</v>
      </c>
      <c r="E62" s="6" t="s">
        <v>596</v>
      </c>
    </row>
    <row r="63" customFormat="false" ht="15" hidden="false" customHeight="false" outlineLevel="0" collapsed="false">
      <c r="A63" s="6" t="s">
        <v>1361</v>
      </c>
      <c r="B63" s="6" t="s">
        <v>959</v>
      </c>
      <c r="C63" s="6" t="s">
        <v>1144</v>
      </c>
      <c r="D63" s="30" t="n">
        <v>11</v>
      </c>
      <c r="E63" s="6" t="s">
        <v>596</v>
      </c>
    </row>
    <row r="64" customFormat="false" ht="15" hidden="false" customHeight="false" outlineLevel="0" collapsed="false">
      <c r="A64" s="6" t="s">
        <v>1053</v>
      </c>
      <c r="B64" s="6" t="s">
        <v>959</v>
      </c>
      <c r="C64" s="6" t="s">
        <v>1048</v>
      </c>
      <c r="D64" s="30" t="n">
        <v>11</v>
      </c>
      <c r="E64" s="6" t="s">
        <v>596</v>
      </c>
    </row>
    <row r="65" customFormat="false" ht="15" hidden="false" customHeight="false" outlineLevel="0" collapsed="false">
      <c r="A65" s="6" t="s">
        <v>1053</v>
      </c>
      <c r="B65" s="6" t="s">
        <v>959</v>
      </c>
      <c r="C65" s="6" t="s">
        <v>1332</v>
      </c>
      <c r="D65" s="30" t="n">
        <v>11</v>
      </c>
      <c r="E65" s="6" t="s">
        <v>596</v>
      </c>
    </row>
    <row r="66" customFormat="false" ht="15" hidden="false" customHeight="false" outlineLevel="0" collapsed="false">
      <c r="A66" s="6" t="s">
        <v>1059</v>
      </c>
      <c r="B66" s="6" t="s">
        <v>959</v>
      </c>
      <c r="C66" s="6" t="s">
        <v>1054</v>
      </c>
      <c r="D66" s="30" t="n">
        <v>11</v>
      </c>
      <c r="E66" s="6" t="s">
        <v>596</v>
      </c>
    </row>
    <row r="67" customFormat="false" ht="15" hidden="false" customHeight="false" outlineLevel="0" collapsed="false">
      <c r="A67" s="6" t="s">
        <v>1059</v>
      </c>
      <c r="B67" s="6" t="s">
        <v>959</v>
      </c>
      <c r="C67" s="6" t="s">
        <v>1333</v>
      </c>
      <c r="D67" s="30" t="n">
        <v>11</v>
      </c>
      <c r="E67" s="6" t="s">
        <v>596</v>
      </c>
    </row>
    <row r="68" customFormat="false" ht="15" hidden="false" customHeight="false" outlineLevel="0" collapsed="false">
      <c r="A68" s="6" t="s">
        <v>1362</v>
      </c>
      <c r="B68" s="6" t="s">
        <v>959</v>
      </c>
      <c r="C68" s="6" t="s">
        <v>970</v>
      </c>
      <c r="D68" s="30" t="n">
        <v>11</v>
      </c>
      <c r="E68" s="6" t="s">
        <v>596</v>
      </c>
    </row>
    <row r="69" customFormat="false" ht="15" hidden="false" customHeight="false" outlineLevel="0" collapsed="false">
      <c r="A69" s="6" t="s">
        <v>1363</v>
      </c>
      <c r="B69" s="6" t="s">
        <v>959</v>
      </c>
      <c r="C69" s="6" t="s">
        <v>1006</v>
      </c>
      <c r="D69" s="30" t="n">
        <v>11</v>
      </c>
      <c r="E69" s="6" t="s">
        <v>596</v>
      </c>
    </row>
    <row r="70" customFormat="false" ht="15" hidden="false" customHeight="false" outlineLevel="0" collapsed="false">
      <c r="A70" s="6" t="s">
        <v>1105</v>
      </c>
      <c r="B70" s="6" t="s">
        <v>959</v>
      </c>
      <c r="C70" s="6" t="s">
        <v>1100</v>
      </c>
      <c r="D70" s="30" t="n">
        <v>11</v>
      </c>
      <c r="E70" s="6" t="s">
        <v>600</v>
      </c>
    </row>
    <row r="71" customFormat="false" ht="15" hidden="false" customHeight="false" outlineLevel="0" collapsed="false">
      <c r="A71" s="6" t="s">
        <v>1105</v>
      </c>
      <c r="B71" s="6" t="s">
        <v>959</v>
      </c>
      <c r="C71" s="6" t="s">
        <v>1353</v>
      </c>
      <c r="D71" s="30" t="n">
        <v>11</v>
      </c>
      <c r="E71" s="6" t="s">
        <v>600</v>
      </c>
    </row>
    <row r="72" customFormat="false" ht="15" hidden="false" customHeight="false" outlineLevel="0" collapsed="false">
      <c r="A72" s="6" t="s">
        <v>1364</v>
      </c>
      <c r="B72" s="6" t="s">
        <v>959</v>
      </c>
      <c r="C72" s="6" t="s">
        <v>1111</v>
      </c>
      <c r="D72" s="30" t="n">
        <v>11</v>
      </c>
      <c r="E72" s="6" t="s">
        <v>600</v>
      </c>
    </row>
    <row r="73" customFormat="false" ht="15" hidden="false" customHeight="false" outlineLevel="0" collapsed="false">
      <c r="A73" s="6" t="s">
        <v>1364</v>
      </c>
      <c r="B73" s="6" t="s">
        <v>959</v>
      </c>
      <c r="C73" s="6" t="s">
        <v>1315</v>
      </c>
      <c r="D73" s="30" t="n">
        <v>11</v>
      </c>
      <c r="E73" s="6" t="s">
        <v>600</v>
      </c>
    </row>
    <row r="74" customFormat="false" ht="15" hidden="false" customHeight="false" outlineLevel="0" collapsed="false">
      <c r="A74" s="6" t="s">
        <v>1365</v>
      </c>
      <c r="B74" s="6" t="s">
        <v>959</v>
      </c>
      <c r="C74" s="6" t="s">
        <v>1117</v>
      </c>
      <c r="D74" s="30" t="n">
        <v>11</v>
      </c>
      <c r="E74" s="6" t="s">
        <v>600</v>
      </c>
    </row>
    <row r="75" customFormat="false" ht="15" hidden="false" customHeight="false" outlineLevel="0" collapsed="false">
      <c r="A75" s="6" t="s">
        <v>1365</v>
      </c>
      <c r="B75" s="6" t="s">
        <v>959</v>
      </c>
      <c r="C75" s="6" t="s">
        <v>1318</v>
      </c>
      <c r="D75" s="30" t="n">
        <v>11</v>
      </c>
      <c r="E75" s="6" t="s">
        <v>600</v>
      </c>
    </row>
    <row r="76" customFormat="false" ht="15" hidden="false" customHeight="false" outlineLevel="0" collapsed="false">
      <c r="A76" s="6" t="s">
        <v>1138</v>
      </c>
      <c r="B76" s="6" t="s">
        <v>959</v>
      </c>
      <c r="C76" s="6" t="s">
        <v>1136</v>
      </c>
      <c r="D76" s="30" t="n">
        <v>11</v>
      </c>
      <c r="E76" s="6" t="s">
        <v>596</v>
      </c>
    </row>
    <row r="77" customFormat="false" ht="15" hidden="false" customHeight="false" outlineLevel="0" collapsed="false">
      <c r="A77" s="6" t="s">
        <v>1091</v>
      </c>
      <c r="B77" s="6" t="s">
        <v>959</v>
      </c>
      <c r="C77" s="6" t="s">
        <v>1088</v>
      </c>
      <c r="D77" s="30" t="n">
        <v>11</v>
      </c>
      <c r="E77" s="6" t="s">
        <v>600</v>
      </c>
    </row>
    <row r="78" customFormat="false" ht="15" hidden="false" customHeight="false" outlineLevel="0" collapsed="false">
      <c r="A78" s="6" t="s">
        <v>1091</v>
      </c>
      <c r="B78" s="6" t="s">
        <v>959</v>
      </c>
      <c r="C78" s="6" t="s">
        <v>1223</v>
      </c>
      <c r="D78" s="30" t="n">
        <v>11</v>
      </c>
      <c r="E78" s="6" t="s">
        <v>596</v>
      </c>
    </row>
    <row r="79" customFormat="false" ht="15" hidden="false" customHeight="false" outlineLevel="0" collapsed="false">
      <c r="A79" s="6" t="s">
        <v>1141</v>
      </c>
      <c r="B79" s="6" t="s">
        <v>959</v>
      </c>
      <c r="C79" s="6" t="s">
        <v>1139</v>
      </c>
      <c r="D79" s="30" t="n">
        <v>11</v>
      </c>
      <c r="E79" s="6" t="s">
        <v>596</v>
      </c>
    </row>
    <row r="80" customFormat="false" ht="15" hidden="false" customHeight="false" outlineLevel="0" collapsed="false">
      <c r="A80" s="6" t="s">
        <v>1366</v>
      </c>
      <c r="B80" s="6" t="s">
        <v>959</v>
      </c>
      <c r="C80" s="6" t="s">
        <v>1310</v>
      </c>
      <c r="D80" s="30" t="n">
        <v>11</v>
      </c>
      <c r="E80" s="6" t="s">
        <v>600</v>
      </c>
    </row>
    <row r="81" customFormat="false" ht="23.85" hidden="false" customHeight="false" outlineLevel="0" collapsed="false">
      <c r="A81" s="6" t="s">
        <v>1110</v>
      </c>
      <c r="B81" s="6" t="s">
        <v>959</v>
      </c>
      <c r="C81" s="6" t="s">
        <v>1106</v>
      </c>
      <c r="D81" s="30" t="n">
        <v>11</v>
      </c>
      <c r="E81" s="6" t="s">
        <v>600</v>
      </c>
    </row>
    <row r="82" customFormat="false" ht="15" hidden="false" customHeight="false" outlineLevel="0" collapsed="false">
      <c r="A82" s="6" t="s">
        <v>1076</v>
      </c>
      <c r="B82" s="6" t="s">
        <v>959</v>
      </c>
      <c r="C82" s="6" t="s">
        <v>1071</v>
      </c>
      <c r="D82" s="30" t="n">
        <v>11</v>
      </c>
      <c r="E82" s="6" t="s">
        <v>596</v>
      </c>
    </row>
    <row r="83" customFormat="false" ht="15" hidden="false" customHeight="false" outlineLevel="0" collapsed="false">
      <c r="A83" s="6" t="s">
        <v>1076</v>
      </c>
      <c r="B83" s="6" t="s">
        <v>959</v>
      </c>
      <c r="C83" s="6" t="s">
        <v>1304</v>
      </c>
      <c r="D83" s="30" t="n">
        <v>11</v>
      </c>
      <c r="E83" s="6" t="s">
        <v>600</v>
      </c>
    </row>
    <row r="84" customFormat="false" ht="15" hidden="false" customHeight="false" outlineLevel="0" collapsed="false">
      <c r="A84" s="6" t="s">
        <v>1367</v>
      </c>
      <c r="B84" s="6" t="s">
        <v>959</v>
      </c>
      <c r="C84" s="6" t="s">
        <v>1006</v>
      </c>
      <c r="D84" s="30" t="n">
        <v>11</v>
      </c>
      <c r="E84" s="6" t="s">
        <v>596</v>
      </c>
    </row>
    <row r="85" customFormat="false" ht="15" hidden="false" customHeight="false" outlineLevel="0" collapsed="false">
      <c r="A85" s="6" t="s">
        <v>1368</v>
      </c>
      <c r="B85" s="6" t="s">
        <v>959</v>
      </c>
      <c r="C85" s="6" t="s">
        <v>970</v>
      </c>
      <c r="D85" s="30" t="n">
        <v>11</v>
      </c>
      <c r="E85" s="6" t="s">
        <v>596</v>
      </c>
    </row>
    <row r="86" customFormat="false" ht="15" hidden="false" customHeight="false" outlineLevel="0" collapsed="false">
      <c r="A86" s="6" t="s">
        <v>1369</v>
      </c>
      <c r="B86" s="6" t="s">
        <v>959</v>
      </c>
      <c r="C86" s="6" t="s">
        <v>1142</v>
      </c>
      <c r="D86" s="30" t="n">
        <v>11</v>
      </c>
      <c r="E86" s="6" t="s">
        <v>596</v>
      </c>
    </row>
    <row r="87" customFormat="false" ht="15" hidden="false" customHeight="false" outlineLevel="0" collapsed="false">
      <c r="A87" s="6" t="s">
        <v>1370</v>
      </c>
      <c r="B87" s="6" t="s">
        <v>959</v>
      </c>
      <c r="C87" s="6" t="s">
        <v>1144</v>
      </c>
      <c r="D87" s="30" t="n">
        <v>11</v>
      </c>
      <c r="E87" s="6" t="s">
        <v>596</v>
      </c>
    </row>
    <row r="88" customFormat="false" ht="15" hidden="false" customHeight="false" outlineLevel="0" collapsed="false">
      <c r="A88" s="6" t="s">
        <v>1371</v>
      </c>
      <c r="B88" s="6" t="s">
        <v>959</v>
      </c>
      <c r="C88" s="6" t="s">
        <v>1111</v>
      </c>
      <c r="D88" s="30" t="n">
        <v>11</v>
      </c>
      <c r="E88" s="6" t="s">
        <v>600</v>
      </c>
    </row>
    <row r="89" customFormat="false" ht="15" hidden="false" customHeight="false" outlineLevel="0" collapsed="false">
      <c r="A89" s="6" t="s">
        <v>1371</v>
      </c>
      <c r="B89" s="6" t="s">
        <v>959</v>
      </c>
      <c r="C89" s="6" t="s">
        <v>1315</v>
      </c>
      <c r="D89" s="30" t="n">
        <v>11</v>
      </c>
      <c r="E89" s="6" t="s">
        <v>600</v>
      </c>
    </row>
    <row r="90" customFormat="false" ht="15" hidden="false" customHeight="false" outlineLevel="0" collapsed="false">
      <c r="A90" s="6" t="s">
        <v>1372</v>
      </c>
      <c r="B90" s="6" t="s">
        <v>959</v>
      </c>
      <c r="C90" s="6" t="s">
        <v>1117</v>
      </c>
      <c r="D90" s="30" t="n">
        <v>11</v>
      </c>
      <c r="E90" s="6" t="s">
        <v>600</v>
      </c>
    </row>
    <row r="91" customFormat="false" ht="15" hidden="false" customHeight="false" outlineLevel="0" collapsed="false">
      <c r="A91" s="6" t="s">
        <v>1372</v>
      </c>
      <c r="B91" s="6" t="s">
        <v>959</v>
      </c>
      <c r="C91" s="6" t="s">
        <v>1318</v>
      </c>
      <c r="D91" s="30" t="n">
        <v>11</v>
      </c>
      <c r="E91" s="6" t="s">
        <v>600</v>
      </c>
    </row>
    <row r="92" customFormat="false" ht="15" hidden="false" customHeight="false" outlineLevel="0" collapsed="false">
      <c r="A92" s="6" t="s">
        <v>1373</v>
      </c>
      <c r="B92" s="6" t="s">
        <v>959</v>
      </c>
      <c r="C92" s="6" t="s">
        <v>1310</v>
      </c>
      <c r="D92" s="30" t="n">
        <v>11</v>
      </c>
      <c r="E92" s="6" t="s">
        <v>600</v>
      </c>
    </row>
    <row r="93" customFormat="false" ht="15" hidden="false" customHeight="false" outlineLevel="0" collapsed="false">
      <c r="A93" s="6" t="s">
        <v>1257</v>
      </c>
      <c r="B93" s="6" t="s">
        <v>109</v>
      </c>
      <c r="C93" s="6" t="s">
        <v>1256</v>
      </c>
      <c r="D93" s="30" t="n">
        <v>12</v>
      </c>
      <c r="E93" s="6" t="s">
        <v>596</v>
      </c>
    </row>
    <row r="94" customFormat="false" ht="15" hidden="false" customHeight="false" outlineLevel="0" collapsed="false">
      <c r="A94" s="6" t="s">
        <v>1259</v>
      </c>
      <c r="B94" s="6" t="s">
        <v>109</v>
      </c>
      <c r="C94" s="6" t="s">
        <v>1258</v>
      </c>
      <c r="D94" s="30" t="n">
        <v>12</v>
      </c>
      <c r="E94" s="6" t="s">
        <v>596</v>
      </c>
    </row>
    <row r="95" customFormat="false" ht="15" hidden="false" customHeight="false" outlineLevel="0" collapsed="false">
      <c r="A95" s="6" t="s">
        <v>1289</v>
      </c>
      <c r="B95" s="6" t="s">
        <v>109</v>
      </c>
      <c r="C95" s="6" t="s">
        <v>1288</v>
      </c>
      <c r="D95" s="30" t="n">
        <v>12</v>
      </c>
      <c r="E95" s="6" t="s">
        <v>596</v>
      </c>
    </row>
    <row r="96" customFormat="false" ht="15" hidden="false" customHeight="false" outlineLevel="0" collapsed="false">
      <c r="A96" s="6" t="s">
        <v>1291</v>
      </c>
      <c r="B96" s="6" t="s">
        <v>109</v>
      </c>
      <c r="C96" s="6" t="s">
        <v>1290</v>
      </c>
      <c r="D96" s="30" t="n">
        <v>12</v>
      </c>
      <c r="E96" s="6" t="s">
        <v>596</v>
      </c>
    </row>
    <row r="97" customFormat="false" ht="15" hidden="false" customHeight="false" outlineLevel="0" collapsed="false">
      <c r="A97" s="6" t="s">
        <v>1293</v>
      </c>
      <c r="B97" s="6" t="s">
        <v>109</v>
      </c>
      <c r="C97" s="6" t="s">
        <v>1292</v>
      </c>
      <c r="D97" s="30" t="n">
        <v>12</v>
      </c>
      <c r="E97" s="6" t="s">
        <v>596</v>
      </c>
    </row>
    <row r="98" customFormat="false" ht="15" hidden="false" customHeight="false" outlineLevel="0" collapsed="false">
      <c r="A98" s="6" t="s">
        <v>1295</v>
      </c>
      <c r="B98" s="6" t="s">
        <v>109</v>
      </c>
      <c r="C98" s="6" t="s">
        <v>1294</v>
      </c>
      <c r="D98" s="30" t="n">
        <v>12</v>
      </c>
      <c r="E98" s="6" t="s">
        <v>596</v>
      </c>
    </row>
    <row r="99" customFormat="false" ht="15" hidden="false" customHeight="false" outlineLevel="0" collapsed="false">
      <c r="A99" s="6" t="s">
        <v>1297</v>
      </c>
      <c r="B99" s="6" t="s">
        <v>109</v>
      </c>
      <c r="C99" s="6" t="s">
        <v>1296</v>
      </c>
      <c r="D99" s="30" t="n">
        <v>12</v>
      </c>
      <c r="E99" s="6" t="s">
        <v>596</v>
      </c>
    </row>
    <row r="100" customFormat="false" ht="15" hidden="false" customHeight="false" outlineLevel="0" collapsed="false">
      <c r="A100" s="6" t="s">
        <v>1299</v>
      </c>
      <c r="B100" s="6" t="s">
        <v>109</v>
      </c>
      <c r="C100" s="6" t="s">
        <v>1298</v>
      </c>
      <c r="D100" s="30" t="n">
        <v>12</v>
      </c>
      <c r="E100" s="6" t="s">
        <v>596</v>
      </c>
    </row>
    <row r="101" customFormat="false" ht="15" hidden="false" customHeight="false" outlineLevel="0" collapsed="false">
      <c r="A101" s="6" t="s">
        <v>1209</v>
      </c>
      <c r="B101" s="6" t="s">
        <v>109</v>
      </c>
      <c r="C101" s="6" t="s">
        <v>1208</v>
      </c>
      <c r="D101" s="30" t="n">
        <v>12</v>
      </c>
      <c r="E101" s="6" t="s">
        <v>600</v>
      </c>
    </row>
    <row r="102" customFormat="false" ht="15" hidden="false" customHeight="false" outlineLevel="0" collapsed="false">
      <c r="A102" s="6" t="s">
        <v>1211</v>
      </c>
      <c r="B102" s="6" t="s">
        <v>109</v>
      </c>
      <c r="C102" s="6" t="s">
        <v>1210</v>
      </c>
      <c r="D102" s="30" t="n">
        <v>12</v>
      </c>
      <c r="E102" s="6" t="s">
        <v>600</v>
      </c>
    </row>
    <row r="103" customFormat="false" ht="15" hidden="false" customHeight="false" outlineLevel="0" collapsed="false">
      <c r="A103" s="6" t="s">
        <v>1213</v>
      </c>
      <c r="B103" s="6" t="s">
        <v>109</v>
      </c>
      <c r="C103" s="6" t="s">
        <v>1212</v>
      </c>
      <c r="D103" s="30" t="n">
        <v>12</v>
      </c>
      <c r="E103" s="6" t="s">
        <v>600</v>
      </c>
    </row>
    <row r="104" customFormat="false" ht="15" hidden="false" customHeight="false" outlineLevel="0" collapsed="false">
      <c r="A104" s="6" t="s">
        <v>1228</v>
      </c>
      <c r="B104" s="6" t="s">
        <v>109</v>
      </c>
      <c r="C104" s="6" t="s">
        <v>1226</v>
      </c>
      <c r="D104" s="30" t="n">
        <v>12</v>
      </c>
      <c r="E104" s="6" t="s">
        <v>596</v>
      </c>
    </row>
    <row r="105" customFormat="false" ht="15" hidden="false" customHeight="false" outlineLevel="0" collapsed="false">
      <c r="A105" s="6" t="s">
        <v>1261</v>
      </c>
      <c r="B105" s="6" t="s">
        <v>109</v>
      </c>
      <c r="C105" s="6" t="s">
        <v>1260</v>
      </c>
      <c r="D105" s="30" t="n">
        <v>12</v>
      </c>
      <c r="E105" s="6" t="s">
        <v>596</v>
      </c>
    </row>
    <row r="106" customFormat="false" ht="15" hidden="false" customHeight="false" outlineLevel="0" collapsed="false">
      <c r="A106" s="6" t="s">
        <v>1231</v>
      </c>
      <c r="B106" s="6" t="s">
        <v>109</v>
      </c>
      <c r="C106" s="6" t="s">
        <v>1229</v>
      </c>
      <c r="D106" s="30" t="n">
        <v>12</v>
      </c>
      <c r="E106" s="6" t="s">
        <v>596</v>
      </c>
    </row>
    <row r="107" customFormat="false" ht="15" hidden="false" customHeight="false" outlineLevel="0" collapsed="false">
      <c r="A107" s="6" t="s">
        <v>1234</v>
      </c>
      <c r="B107" s="6" t="s">
        <v>109</v>
      </c>
      <c r="C107" s="6" t="s">
        <v>1232</v>
      </c>
      <c r="D107" s="30" t="n">
        <v>12</v>
      </c>
      <c r="E107" s="6" t="s">
        <v>596</v>
      </c>
    </row>
    <row r="108" customFormat="false" ht="15" hidden="false" customHeight="false" outlineLevel="0" collapsed="false">
      <c r="A108" s="6" t="s">
        <v>1237</v>
      </c>
      <c r="B108" s="6" t="s">
        <v>109</v>
      </c>
      <c r="C108" s="6" t="s">
        <v>1235</v>
      </c>
      <c r="D108" s="30" t="n">
        <v>12</v>
      </c>
      <c r="E108" s="6" t="s">
        <v>596</v>
      </c>
    </row>
    <row r="109" customFormat="false" ht="15" hidden="false" customHeight="false" outlineLevel="0" collapsed="false">
      <c r="A109" s="6" t="s">
        <v>1225</v>
      </c>
      <c r="B109" s="6" t="s">
        <v>109</v>
      </c>
      <c r="C109" s="6" t="s">
        <v>1223</v>
      </c>
      <c r="D109" s="30" t="n">
        <v>12</v>
      </c>
      <c r="E109" s="6" t="s">
        <v>596</v>
      </c>
    </row>
    <row r="110" customFormat="false" ht="15" hidden="false" customHeight="false" outlineLevel="0" collapsed="false">
      <c r="A110" s="6" t="s">
        <v>1317</v>
      </c>
      <c r="B110" s="6" t="s">
        <v>109</v>
      </c>
      <c r="C110" s="6" t="s">
        <v>1315</v>
      </c>
      <c r="D110" s="30" t="n">
        <v>12</v>
      </c>
      <c r="E110" s="6" t="s">
        <v>600</v>
      </c>
    </row>
    <row r="111" customFormat="false" ht="15" hidden="false" customHeight="false" outlineLevel="0" collapsed="false">
      <c r="A111" s="6" t="s">
        <v>1319</v>
      </c>
      <c r="B111" s="6" t="s">
        <v>109</v>
      </c>
      <c r="C111" s="6" t="s">
        <v>1318</v>
      </c>
      <c r="D111" s="30" t="n">
        <v>12</v>
      </c>
      <c r="E111" s="6" t="s">
        <v>600</v>
      </c>
    </row>
    <row r="112" customFormat="false" ht="15" hidden="false" customHeight="false" outlineLevel="0" collapsed="false">
      <c r="A112" s="6" t="s">
        <v>1263</v>
      </c>
      <c r="B112" s="6" t="s">
        <v>109</v>
      </c>
      <c r="C112" s="6" t="s">
        <v>1262</v>
      </c>
      <c r="D112" s="30" t="n">
        <v>12</v>
      </c>
      <c r="E112" s="6" t="s">
        <v>596</v>
      </c>
    </row>
    <row r="113" customFormat="false" ht="15" hidden="false" customHeight="false" outlineLevel="0" collapsed="false">
      <c r="A113" s="6" t="s">
        <v>1265</v>
      </c>
      <c r="B113" s="6" t="s">
        <v>109</v>
      </c>
      <c r="C113" s="6" t="s">
        <v>1264</v>
      </c>
      <c r="D113" s="30" t="n">
        <v>12</v>
      </c>
      <c r="E113" s="6" t="s">
        <v>596</v>
      </c>
    </row>
    <row r="114" customFormat="false" ht="15" hidden="false" customHeight="false" outlineLevel="0" collapsed="false">
      <c r="A114" s="6" t="s">
        <v>1267</v>
      </c>
      <c r="B114" s="6" t="s">
        <v>109</v>
      </c>
      <c r="C114" s="6" t="s">
        <v>1266</v>
      </c>
      <c r="D114" s="30" t="n">
        <v>12</v>
      </c>
      <c r="E114" s="6" t="s">
        <v>596</v>
      </c>
    </row>
    <row r="115" customFormat="false" ht="15" hidden="false" customHeight="false" outlineLevel="0" collapsed="false">
      <c r="A115" s="6" t="s">
        <v>1281</v>
      </c>
      <c r="B115" s="6" t="s">
        <v>109</v>
      </c>
      <c r="C115" s="6" t="s">
        <v>1280</v>
      </c>
      <c r="D115" s="30" t="n">
        <v>12</v>
      </c>
      <c r="E115" s="6" t="s">
        <v>600</v>
      </c>
    </row>
    <row r="116" customFormat="false" ht="15" hidden="false" customHeight="false" outlineLevel="0" collapsed="false">
      <c r="A116" s="6" t="s">
        <v>1283</v>
      </c>
      <c r="B116" s="6" t="s">
        <v>109</v>
      </c>
      <c r="C116" s="6" t="s">
        <v>1282</v>
      </c>
      <c r="D116" s="30" t="n">
        <v>12</v>
      </c>
      <c r="E116" s="6" t="s">
        <v>600</v>
      </c>
    </row>
    <row r="117" customFormat="false" ht="15" hidden="false" customHeight="false" outlineLevel="0" collapsed="false">
      <c r="A117" s="6" t="s">
        <v>1285</v>
      </c>
      <c r="B117" s="6" t="s">
        <v>109</v>
      </c>
      <c r="C117" s="6" t="s">
        <v>1284</v>
      </c>
      <c r="D117" s="30" t="n">
        <v>12</v>
      </c>
      <c r="E117" s="6" t="s">
        <v>600</v>
      </c>
    </row>
    <row r="118" customFormat="false" ht="15" hidden="false" customHeight="false" outlineLevel="0" collapsed="false">
      <c r="A118" s="6" t="s">
        <v>1287</v>
      </c>
      <c r="B118" s="6" t="s">
        <v>109</v>
      </c>
      <c r="C118" s="6" t="s">
        <v>1286</v>
      </c>
      <c r="D118" s="30" t="n">
        <v>12</v>
      </c>
      <c r="E118" s="6" t="s">
        <v>600</v>
      </c>
    </row>
    <row r="119" customFormat="false" ht="15" hidden="false" customHeight="false" outlineLevel="0" collapsed="false">
      <c r="A119" s="6" t="s">
        <v>1275</v>
      </c>
      <c r="B119" s="6" t="s">
        <v>109</v>
      </c>
      <c r="C119" s="6" t="s">
        <v>1274</v>
      </c>
      <c r="D119" s="30" t="n">
        <v>12</v>
      </c>
      <c r="E119" s="6" t="s">
        <v>600</v>
      </c>
    </row>
    <row r="120" customFormat="false" ht="15" hidden="false" customHeight="false" outlineLevel="0" collapsed="false">
      <c r="A120" s="6" t="s">
        <v>1193</v>
      </c>
      <c r="B120" s="6" t="s">
        <v>109</v>
      </c>
      <c r="C120" s="6" t="s">
        <v>1192</v>
      </c>
      <c r="D120" s="30" t="n">
        <v>12</v>
      </c>
      <c r="E120" s="6" t="s">
        <v>596</v>
      </c>
    </row>
    <row r="121" customFormat="false" ht="15" hidden="false" customHeight="false" outlineLevel="0" collapsed="false">
      <c r="A121" s="6" t="s">
        <v>1215</v>
      </c>
      <c r="B121" s="6" t="s">
        <v>109</v>
      </c>
      <c r="C121" s="6" t="s">
        <v>1214</v>
      </c>
      <c r="D121" s="30" t="n">
        <v>12</v>
      </c>
      <c r="E121" s="6" t="s">
        <v>600</v>
      </c>
    </row>
    <row r="122" customFormat="false" ht="15" hidden="false" customHeight="false" outlineLevel="0" collapsed="false">
      <c r="A122" s="6" t="s">
        <v>1217</v>
      </c>
      <c r="B122" s="6" t="s">
        <v>109</v>
      </c>
      <c r="C122" s="6" t="s">
        <v>1216</v>
      </c>
      <c r="D122" s="30" t="n">
        <v>12</v>
      </c>
      <c r="E122" s="6" t="s">
        <v>600</v>
      </c>
    </row>
    <row r="123" customFormat="false" ht="15" hidden="false" customHeight="false" outlineLevel="0" collapsed="false">
      <c r="A123" s="6" t="s">
        <v>1251</v>
      </c>
      <c r="B123" s="6" t="s">
        <v>109</v>
      </c>
      <c r="C123" s="6" t="s">
        <v>1250</v>
      </c>
      <c r="D123" s="30" t="n">
        <v>12</v>
      </c>
      <c r="E123" s="6" t="s">
        <v>600</v>
      </c>
    </row>
    <row r="124" customFormat="false" ht="15" hidden="false" customHeight="false" outlineLevel="0" collapsed="false">
      <c r="A124" s="6" t="s">
        <v>1253</v>
      </c>
      <c r="B124" s="6" t="s">
        <v>109</v>
      </c>
      <c r="C124" s="6" t="s">
        <v>1252</v>
      </c>
      <c r="D124" s="30" t="n">
        <v>12</v>
      </c>
      <c r="E124" s="6" t="s">
        <v>600</v>
      </c>
    </row>
    <row r="125" customFormat="false" ht="15" hidden="false" customHeight="false" outlineLevel="0" collapsed="false">
      <c r="A125" s="6" t="s">
        <v>1255</v>
      </c>
      <c r="B125" s="6" t="s">
        <v>109</v>
      </c>
      <c r="C125" s="6" t="s">
        <v>1254</v>
      </c>
      <c r="D125" s="30" t="n">
        <v>12</v>
      </c>
      <c r="E125" s="6" t="s">
        <v>600</v>
      </c>
    </row>
    <row r="126" customFormat="false" ht="15" hidden="false" customHeight="false" outlineLevel="0" collapsed="false">
      <c r="A126" s="6" t="s">
        <v>1203</v>
      </c>
      <c r="B126" s="6" t="s">
        <v>109</v>
      </c>
      <c r="C126" s="6" t="s">
        <v>1202</v>
      </c>
      <c r="D126" s="30" t="n">
        <v>12</v>
      </c>
      <c r="E126" s="6" t="s">
        <v>600</v>
      </c>
    </row>
    <row r="127" customFormat="false" ht="15" hidden="false" customHeight="false" outlineLevel="0" collapsed="false">
      <c r="A127" s="6" t="s">
        <v>1205</v>
      </c>
      <c r="B127" s="6" t="s">
        <v>109</v>
      </c>
      <c r="C127" s="6" t="s">
        <v>1204</v>
      </c>
      <c r="D127" s="30" t="n">
        <v>12</v>
      </c>
      <c r="E127" s="6" t="s">
        <v>600</v>
      </c>
    </row>
    <row r="128" customFormat="false" ht="15" hidden="false" customHeight="false" outlineLevel="0" collapsed="false">
      <c r="A128" s="6" t="s">
        <v>1207</v>
      </c>
      <c r="B128" s="6" t="s">
        <v>109</v>
      </c>
      <c r="C128" s="6" t="s">
        <v>1206</v>
      </c>
      <c r="D128" s="30" t="n">
        <v>12</v>
      </c>
      <c r="E128" s="6" t="s">
        <v>600</v>
      </c>
    </row>
    <row r="129" customFormat="false" ht="15" hidden="false" customHeight="false" outlineLevel="0" collapsed="false">
      <c r="A129" s="6" t="s">
        <v>1184</v>
      </c>
      <c r="B129" s="6" t="s">
        <v>109</v>
      </c>
      <c r="C129" s="6" t="s">
        <v>1183</v>
      </c>
      <c r="D129" s="30" t="n">
        <v>12</v>
      </c>
      <c r="E129" s="6" t="s">
        <v>596</v>
      </c>
    </row>
    <row r="130" customFormat="false" ht="15" hidden="false" customHeight="false" outlineLevel="0" collapsed="false">
      <c r="A130" s="6" t="s">
        <v>1186</v>
      </c>
      <c r="B130" s="6" t="s">
        <v>109</v>
      </c>
      <c r="C130" s="6" t="s">
        <v>1185</v>
      </c>
      <c r="D130" s="30" t="n">
        <v>12</v>
      </c>
      <c r="E130" s="6" t="s">
        <v>596</v>
      </c>
    </row>
    <row r="131" customFormat="false" ht="15" hidden="false" customHeight="false" outlineLevel="0" collapsed="false">
      <c r="A131" s="6" t="s">
        <v>1239</v>
      </c>
      <c r="B131" s="6" t="s">
        <v>109</v>
      </c>
      <c r="C131" s="6" t="s">
        <v>1238</v>
      </c>
      <c r="D131" s="30" t="n">
        <v>12</v>
      </c>
      <c r="E131" s="6" t="s">
        <v>596</v>
      </c>
    </row>
    <row r="132" customFormat="false" ht="15" hidden="false" customHeight="false" outlineLevel="0" collapsed="false">
      <c r="A132" s="6" t="s">
        <v>1241</v>
      </c>
      <c r="B132" s="6" t="s">
        <v>109</v>
      </c>
      <c r="C132" s="6" t="s">
        <v>1240</v>
      </c>
      <c r="D132" s="30" t="n">
        <v>12</v>
      </c>
      <c r="E132" s="6" t="s">
        <v>600</v>
      </c>
    </row>
    <row r="133" customFormat="false" ht="15" hidden="false" customHeight="false" outlineLevel="0" collapsed="false">
      <c r="A133" s="6" t="s">
        <v>1243</v>
      </c>
      <c r="B133" s="6" t="s">
        <v>109</v>
      </c>
      <c r="C133" s="6" t="s">
        <v>1242</v>
      </c>
      <c r="D133" s="30" t="n">
        <v>12</v>
      </c>
      <c r="E133" s="6" t="s">
        <v>600</v>
      </c>
    </row>
    <row r="134" customFormat="false" ht="15" hidden="false" customHeight="false" outlineLevel="0" collapsed="false">
      <c r="A134" s="6" t="s">
        <v>1245</v>
      </c>
      <c r="B134" s="6" t="s">
        <v>109</v>
      </c>
      <c r="C134" s="6" t="s">
        <v>1244</v>
      </c>
      <c r="D134" s="30" t="n">
        <v>12</v>
      </c>
      <c r="E134" s="6" t="s">
        <v>600</v>
      </c>
    </row>
    <row r="135" customFormat="false" ht="15" hidden="false" customHeight="false" outlineLevel="0" collapsed="false">
      <c r="A135" s="6" t="s">
        <v>1247</v>
      </c>
      <c r="B135" s="6" t="s">
        <v>109</v>
      </c>
      <c r="C135" s="6" t="s">
        <v>1246</v>
      </c>
      <c r="D135" s="30" t="n">
        <v>12</v>
      </c>
      <c r="E135" s="6" t="s">
        <v>600</v>
      </c>
    </row>
    <row r="136" customFormat="false" ht="15" hidden="false" customHeight="false" outlineLevel="0" collapsed="false">
      <c r="A136" s="6" t="s">
        <v>1249</v>
      </c>
      <c r="B136" s="6" t="s">
        <v>109</v>
      </c>
      <c r="C136" s="6" t="s">
        <v>1248</v>
      </c>
      <c r="D136" s="30" t="n">
        <v>12</v>
      </c>
      <c r="E136" s="6" t="s">
        <v>600</v>
      </c>
    </row>
    <row r="137" customFormat="false" ht="15" hidden="false" customHeight="false" outlineLevel="0" collapsed="false">
      <c r="A137" s="6" t="s">
        <v>1301</v>
      </c>
      <c r="B137" s="6" t="s">
        <v>109</v>
      </c>
      <c r="C137" s="6" t="s">
        <v>1300</v>
      </c>
      <c r="D137" s="30" t="n">
        <v>12</v>
      </c>
      <c r="E137" s="6" t="s">
        <v>596</v>
      </c>
    </row>
    <row r="138" customFormat="false" ht="15" hidden="false" customHeight="false" outlineLevel="0" collapsed="false">
      <c r="A138" s="6" t="s">
        <v>1303</v>
      </c>
      <c r="B138" s="6" t="s">
        <v>109</v>
      </c>
      <c r="C138" s="6" t="s">
        <v>1302</v>
      </c>
      <c r="D138" s="30" t="n">
        <v>12</v>
      </c>
      <c r="E138" s="6" t="s">
        <v>596</v>
      </c>
    </row>
    <row r="139" customFormat="false" ht="15" hidden="false" customHeight="false" outlineLevel="0" collapsed="false">
      <c r="A139" s="6" t="s">
        <v>1277</v>
      </c>
      <c r="B139" s="6" t="s">
        <v>109</v>
      </c>
      <c r="C139" s="6" t="s">
        <v>1276</v>
      </c>
      <c r="D139" s="30" t="n">
        <v>12</v>
      </c>
      <c r="E139" s="6" t="s">
        <v>600</v>
      </c>
    </row>
    <row r="140" customFormat="false" ht="15" hidden="false" customHeight="false" outlineLevel="0" collapsed="false">
      <c r="A140" s="6" t="s">
        <v>1220</v>
      </c>
      <c r="B140" s="6" t="s">
        <v>109</v>
      </c>
      <c r="C140" s="6" t="s">
        <v>1218</v>
      </c>
      <c r="D140" s="30" t="n">
        <v>12</v>
      </c>
      <c r="E140" s="6" t="s">
        <v>596</v>
      </c>
    </row>
    <row r="141" customFormat="false" ht="15" hidden="false" customHeight="false" outlineLevel="0" collapsed="false">
      <c r="A141" s="6" t="s">
        <v>1222</v>
      </c>
      <c r="B141" s="6" t="s">
        <v>109</v>
      </c>
      <c r="C141" s="6" t="s">
        <v>1221</v>
      </c>
      <c r="D141" s="30" t="n">
        <v>12</v>
      </c>
      <c r="E141" s="6" t="s">
        <v>596</v>
      </c>
    </row>
    <row r="142" customFormat="false" ht="15" hidden="false" customHeight="false" outlineLevel="0" collapsed="false">
      <c r="A142" s="6" t="s">
        <v>1374</v>
      </c>
      <c r="B142" s="6" t="s">
        <v>109</v>
      </c>
      <c r="C142" s="6" t="s">
        <v>1200</v>
      </c>
      <c r="D142" s="30" t="n">
        <v>12</v>
      </c>
      <c r="E142" s="6" t="s">
        <v>596</v>
      </c>
    </row>
    <row r="143" customFormat="false" ht="15" hidden="false" customHeight="false" outlineLevel="0" collapsed="false">
      <c r="A143" s="6" t="s">
        <v>1375</v>
      </c>
      <c r="B143" s="6" t="s">
        <v>109</v>
      </c>
      <c r="C143" s="6" t="s">
        <v>1306</v>
      </c>
      <c r="D143" s="30" t="n">
        <v>12</v>
      </c>
      <c r="E143" s="6" t="s">
        <v>600</v>
      </c>
    </row>
    <row r="144" customFormat="false" ht="15" hidden="false" customHeight="false" outlineLevel="0" collapsed="false">
      <c r="A144" s="6" t="s">
        <v>1376</v>
      </c>
      <c r="B144" s="6" t="s">
        <v>109</v>
      </c>
      <c r="C144" s="6" t="s">
        <v>1308</v>
      </c>
      <c r="D144" s="30" t="n">
        <v>12</v>
      </c>
      <c r="E144" s="6" t="s">
        <v>600</v>
      </c>
    </row>
    <row r="145" customFormat="false" ht="15" hidden="false" customHeight="false" outlineLevel="0" collapsed="false">
      <c r="A145" s="6" t="s">
        <v>1312</v>
      </c>
      <c r="B145" s="6" t="s">
        <v>109</v>
      </c>
      <c r="C145" s="6" t="s">
        <v>1310</v>
      </c>
      <c r="D145" s="30" t="n">
        <v>12</v>
      </c>
      <c r="E145" s="6" t="s">
        <v>600</v>
      </c>
    </row>
    <row r="146" customFormat="false" ht="15" hidden="false" customHeight="false" outlineLevel="0" collapsed="false">
      <c r="A146" s="6" t="s">
        <v>1377</v>
      </c>
      <c r="B146" s="6" t="s">
        <v>109</v>
      </c>
      <c r="C146" s="6" t="s">
        <v>1200</v>
      </c>
      <c r="D146" s="30" t="n">
        <v>12</v>
      </c>
      <c r="E146" s="6" t="s">
        <v>596</v>
      </c>
    </row>
    <row r="147" customFormat="false" ht="15" hidden="false" customHeight="false" outlineLevel="0" collapsed="false">
      <c r="A147" s="6" t="s">
        <v>1378</v>
      </c>
      <c r="B147" s="6" t="s">
        <v>109</v>
      </c>
      <c r="C147" s="6" t="s">
        <v>1306</v>
      </c>
      <c r="D147" s="30" t="n">
        <v>12</v>
      </c>
      <c r="E147" s="6" t="s">
        <v>600</v>
      </c>
    </row>
    <row r="148" customFormat="false" ht="15" hidden="false" customHeight="false" outlineLevel="0" collapsed="false">
      <c r="A148" s="6" t="s">
        <v>1379</v>
      </c>
      <c r="B148" s="6" t="s">
        <v>109</v>
      </c>
      <c r="C148" s="6" t="s">
        <v>1308</v>
      </c>
      <c r="D148" s="30" t="n">
        <v>12</v>
      </c>
      <c r="E148" s="6" t="s">
        <v>600</v>
      </c>
    </row>
    <row r="149" customFormat="false" ht="15" hidden="false" customHeight="false" outlineLevel="0" collapsed="false">
      <c r="A149" s="6" t="s">
        <v>1314</v>
      </c>
      <c r="B149" s="6" t="s">
        <v>109</v>
      </c>
      <c r="C149" s="6" t="s">
        <v>1313</v>
      </c>
      <c r="D149" s="30" t="n">
        <v>12</v>
      </c>
      <c r="E149" s="6" t="s">
        <v>600</v>
      </c>
    </row>
    <row r="150" customFormat="false" ht="15" hidden="false" customHeight="false" outlineLevel="0" collapsed="false">
      <c r="A150" s="6" t="s">
        <v>1269</v>
      </c>
      <c r="B150" s="6" t="s">
        <v>109</v>
      </c>
      <c r="C150" s="6" t="s">
        <v>1268</v>
      </c>
      <c r="D150" s="30" t="n">
        <v>12</v>
      </c>
      <c r="E150" s="6" t="s">
        <v>596</v>
      </c>
    </row>
    <row r="151" customFormat="false" ht="15" hidden="false" customHeight="false" outlineLevel="0" collapsed="false">
      <c r="A151" s="6" t="s">
        <v>1273</v>
      </c>
      <c r="B151" s="6" t="s">
        <v>109</v>
      </c>
      <c r="C151" s="6" t="s">
        <v>1272</v>
      </c>
      <c r="D151" s="30" t="n">
        <v>12</v>
      </c>
      <c r="E151" s="6" t="s">
        <v>600</v>
      </c>
    </row>
    <row r="152" customFormat="false" ht="15" hidden="false" customHeight="false" outlineLevel="0" collapsed="false">
      <c r="A152" s="6" t="s">
        <v>1086</v>
      </c>
      <c r="B152" s="6" t="s">
        <v>109</v>
      </c>
      <c r="C152" s="6" t="s">
        <v>1083</v>
      </c>
      <c r="D152" s="30" t="n">
        <v>12</v>
      </c>
      <c r="E152" s="6" t="s">
        <v>596</v>
      </c>
    </row>
    <row r="153" customFormat="false" ht="15" hidden="false" customHeight="false" outlineLevel="0" collapsed="false">
      <c r="A153" s="6" t="s">
        <v>1195</v>
      </c>
      <c r="B153" s="6" t="s">
        <v>109</v>
      </c>
      <c r="C153" s="6" t="s">
        <v>1194</v>
      </c>
      <c r="D153" s="30" t="n">
        <v>12</v>
      </c>
      <c r="E153" s="6" t="s">
        <v>596</v>
      </c>
    </row>
    <row r="154" customFormat="false" ht="15" hidden="false" customHeight="false" outlineLevel="0" collapsed="false">
      <c r="A154" s="6" t="s">
        <v>1271</v>
      </c>
      <c r="B154" s="6" t="s">
        <v>109</v>
      </c>
      <c r="C154" s="6" t="s">
        <v>1270</v>
      </c>
      <c r="D154" s="30" t="n">
        <v>12</v>
      </c>
      <c r="E154" s="6" t="s">
        <v>596</v>
      </c>
    </row>
    <row r="155" customFormat="false" ht="15" hidden="false" customHeight="false" outlineLevel="0" collapsed="false">
      <c r="A155" s="6" t="s">
        <v>1199</v>
      </c>
      <c r="B155" s="6" t="s">
        <v>109</v>
      </c>
      <c r="C155" s="6" t="s">
        <v>1198</v>
      </c>
      <c r="D155" s="30" t="n">
        <v>12</v>
      </c>
      <c r="E155" s="6" t="s">
        <v>596</v>
      </c>
    </row>
    <row r="156" customFormat="false" ht="15" hidden="false" customHeight="false" outlineLevel="0" collapsed="false">
      <c r="A156" s="6" t="s">
        <v>1197</v>
      </c>
      <c r="B156" s="6" t="s">
        <v>109</v>
      </c>
      <c r="C156" s="6" t="s">
        <v>1196</v>
      </c>
      <c r="D156" s="30" t="n">
        <v>12</v>
      </c>
      <c r="E156" s="6" t="s">
        <v>596</v>
      </c>
    </row>
    <row r="157" customFormat="false" ht="15" hidden="false" customHeight="false" outlineLevel="0" collapsed="false">
      <c r="A157" s="6" t="s">
        <v>1080</v>
      </c>
      <c r="B157" s="6" t="s">
        <v>359</v>
      </c>
      <c r="C157" s="6" t="s">
        <v>1078</v>
      </c>
      <c r="D157" s="30" t="n">
        <v>4</v>
      </c>
      <c r="E157" s="6" t="s">
        <v>596</v>
      </c>
    </row>
    <row r="158" customFormat="false" ht="15" hidden="false" customHeight="false" outlineLevel="0" collapsed="false">
      <c r="A158" s="6" t="s">
        <v>1080</v>
      </c>
      <c r="B158" s="6" t="s">
        <v>359</v>
      </c>
      <c r="C158" s="6" t="s">
        <v>1088</v>
      </c>
      <c r="D158" s="30" t="n">
        <v>4</v>
      </c>
      <c r="E158" s="6" t="s">
        <v>600</v>
      </c>
    </row>
    <row r="159" customFormat="false" ht="15" hidden="false" customHeight="false" outlineLevel="0" collapsed="false">
      <c r="A159" s="6" t="s">
        <v>1085</v>
      </c>
      <c r="B159" s="6" t="s">
        <v>359</v>
      </c>
      <c r="C159" s="6" t="s">
        <v>1083</v>
      </c>
      <c r="D159" s="30" t="n">
        <v>4</v>
      </c>
      <c r="E159" s="6" t="s">
        <v>596</v>
      </c>
    </row>
    <row r="160" customFormat="false" ht="15" hidden="false" customHeight="false" outlineLevel="0" collapsed="false">
      <c r="A160" s="6" t="s">
        <v>1085</v>
      </c>
      <c r="B160" s="6" t="s">
        <v>359</v>
      </c>
      <c r="C160" s="6" t="s">
        <v>1094</v>
      </c>
      <c r="D160" s="30" t="n">
        <v>4</v>
      </c>
      <c r="E160" s="6" t="s">
        <v>600</v>
      </c>
    </row>
    <row r="161" customFormat="false" ht="15" hidden="false" customHeight="false" outlineLevel="0" collapsed="false">
      <c r="A161" s="6" t="s">
        <v>1072</v>
      </c>
      <c r="B161" s="6" t="s">
        <v>359</v>
      </c>
      <c r="C161" s="6" t="s">
        <v>1071</v>
      </c>
      <c r="D161" s="30" t="n">
        <v>4</v>
      </c>
      <c r="E161" s="6" t="s">
        <v>596</v>
      </c>
    </row>
    <row r="162" customFormat="false" ht="15" hidden="false" customHeight="false" outlineLevel="0" collapsed="false">
      <c r="A162" s="6" t="s">
        <v>1101</v>
      </c>
      <c r="B162" s="6" t="s">
        <v>354</v>
      </c>
      <c r="C162" s="6" t="s">
        <v>1100</v>
      </c>
      <c r="D162" s="30" t="n">
        <v>4</v>
      </c>
      <c r="E162" s="6" t="s">
        <v>600</v>
      </c>
    </row>
    <row r="163" customFormat="false" ht="15" hidden="false" customHeight="false" outlineLevel="0" collapsed="false">
      <c r="A163" s="6" t="s">
        <v>1101</v>
      </c>
      <c r="B163" s="6" t="s">
        <v>354</v>
      </c>
      <c r="C163" s="6" t="s">
        <v>1258</v>
      </c>
      <c r="D163" s="30" t="n">
        <v>4</v>
      </c>
      <c r="E163" s="6" t="s">
        <v>596</v>
      </c>
    </row>
    <row r="164" customFormat="false" ht="15" hidden="false" customHeight="false" outlineLevel="0" collapsed="false">
      <c r="A164" s="6" t="s">
        <v>1101</v>
      </c>
      <c r="B164" s="6" t="s">
        <v>354</v>
      </c>
      <c r="C164" s="6" t="s">
        <v>1330</v>
      </c>
      <c r="D164" s="30" t="n">
        <v>4</v>
      </c>
      <c r="E164" s="6" t="s">
        <v>596</v>
      </c>
    </row>
    <row r="165" customFormat="false" ht="15" hidden="false" customHeight="false" outlineLevel="0" collapsed="false">
      <c r="A165" s="6" t="s">
        <v>1107</v>
      </c>
      <c r="B165" s="6" t="s">
        <v>354</v>
      </c>
      <c r="C165" s="6" t="s">
        <v>1106</v>
      </c>
      <c r="D165" s="30" t="n">
        <v>4</v>
      </c>
      <c r="E165" s="6" t="s">
        <v>600</v>
      </c>
    </row>
    <row r="166" customFormat="false" ht="15" hidden="false" customHeight="false" outlineLevel="0" collapsed="false">
      <c r="A166" s="6" t="s">
        <v>1107</v>
      </c>
      <c r="B166" s="6" t="s">
        <v>354</v>
      </c>
      <c r="C166" s="6" t="s">
        <v>1256</v>
      </c>
      <c r="D166" s="30" t="n">
        <v>4</v>
      </c>
      <c r="E166" s="6" t="s">
        <v>596</v>
      </c>
    </row>
    <row r="167" customFormat="false" ht="15" hidden="false" customHeight="false" outlineLevel="0" collapsed="false">
      <c r="A167" s="6" t="s">
        <v>1107</v>
      </c>
      <c r="B167" s="6" t="s">
        <v>354</v>
      </c>
      <c r="C167" s="6" t="s">
        <v>1331</v>
      </c>
      <c r="D167" s="30" t="n">
        <v>4</v>
      </c>
      <c r="E167" s="6" t="s">
        <v>596</v>
      </c>
    </row>
    <row r="168" customFormat="false" ht="15" hidden="false" customHeight="false" outlineLevel="0" collapsed="false">
      <c r="A168" s="6" t="s">
        <v>1112</v>
      </c>
      <c r="B168" s="6" t="s">
        <v>354</v>
      </c>
      <c r="C168" s="6" t="s">
        <v>1111</v>
      </c>
      <c r="D168" s="30" t="n">
        <v>4</v>
      </c>
      <c r="E168" s="6" t="s">
        <v>600</v>
      </c>
    </row>
    <row r="169" customFormat="false" ht="15" hidden="false" customHeight="false" outlineLevel="0" collapsed="false">
      <c r="A169" s="6" t="s">
        <v>1112</v>
      </c>
      <c r="B169" s="6" t="s">
        <v>354</v>
      </c>
      <c r="C169" s="6" t="s">
        <v>1260</v>
      </c>
      <c r="D169" s="30" t="n">
        <v>4</v>
      </c>
      <c r="E169" s="6" t="s">
        <v>596</v>
      </c>
    </row>
    <row r="170" customFormat="false" ht="15" hidden="false" customHeight="false" outlineLevel="0" collapsed="false">
      <c r="A170" s="6" t="s">
        <v>1112</v>
      </c>
      <c r="B170" s="6" t="s">
        <v>354</v>
      </c>
      <c r="C170" s="6" t="s">
        <v>1332</v>
      </c>
      <c r="D170" s="30" t="n">
        <v>4</v>
      </c>
      <c r="E170" s="6" t="s">
        <v>596</v>
      </c>
    </row>
    <row r="171" customFormat="false" ht="15" hidden="false" customHeight="false" outlineLevel="0" collapsed="false">
      <c r="A171" s="6" t="s">
        <v>1015</v>
      </c>
      <c r="B171" s="6" t="s">
        <v>348</v>
      </c>
      <c r="C171" s="6" t="s">
        <v>1012</v>
      </c>
      <c r="D171" s="30" t="n">
        <v>4</v>
      </c>
      <c r="E171" s="6" t="s">
        <v>600</v>
      </c>
    </row>
    <row r="172" customFormat="false" ht="15" hidden="false" customHeight="false" outlineLevel="0" collapsed="false">
      <c r="A172" s="6" t="s">
        <v>1015</v>
      </c>
      <c r="B172" s="6" t="s">
        <v>348</v>
      </c>
      <c r="C172" s="6" t="s">
        <v>1333</v>
      </c>
      <c r="D172" s="30" t="n">
        <v>4</v>
      </c>
      <c r="E172" s="6" t="s">
        <v>596</v>
      </c>
    </row>
    <row r="173" customFormat="false" ht="15" hidden="false" customHeight="false" outlineLevel="0" collapsed="false">
      <c r="A173" s="6" t="s">
        <v>1164</v>
      </c>
      <c r="B173" s="6" t="s">
        <v>348</v>
      </c>
      <c r="C173" s="6" t="s">
        <v>1161</v>
      </c>
      <c r="D173" s="30" t="n">
        <v>4</v>
      </c>
      <c r="E173" s="6" t="s">
        <v>600</v>
      </c>
    </row>
    <row r="174" customFormat="false" ht="15" hidden="false" customHeight="false" outlineLevel="0" collapsed="false">
      <c r="A174" s="6" t="s">
        <v>1164</v>
      </c>
      <c r="B174" s="6" t="s">
        <v>348</v>
      </c>
      <c r="C174" s="6" t="s">
        <v>1334</v>
      </c>
      <c r="D174" s="30" t="n">
        <v>4</v>
      </c>
      <c r="E174" s="6" t="s">
        <v>600</v>
      </c>
    </row>
    <row r="175" customFormat="false" ht="15" hidden="false" customHeight="false" outlineLevel="0" collapsed="false">
      <c r="A175" s="6" t="s">
        <v>1020</v>
      </c>
      <c r="B175" s="6" t="s">
        <v>348</v>
      </c>
      <c r="C175" s="6" t="s">
        <v>1018</v>
      </c>
      <c r="D175" s="30" t="n">
        <v>4</v>
      </c>
      <c r="E175" s="6" t="s">
        <v>600</v>
      </c>
    </row>
    <row r="176" customFormat="false" ht="15" hidden="false" customHeight="false" outlineLevel="0" collapsed="false">
      <c r="A176" s="6" t="s">
        <v>1020</v>
      </c>
      <c r="B176" s="6" t="s">
        <v>348</v>
      </c>
      <c r="C176" s="6" t="s">
        <v>1335</v>
      </c>
      <c r="D176" s="30" t="n">
        <v>4</v>
      </c>
      <c r="E176" s="6" t="s">
        <v>600</v>
      </c>
    </row>
    <row r="177" customFormat="false" ht="15" hidden="false" customHeight="false" outlineLevel="0" collapsed="false">
      <c r="A177" s="6" t="s">
        <v>1380</v>
      </c>
      <c r="B177" s="6" t="s">
        <v>1381</v>
      </c>
      <c r="C177" s="6" t="s">
        <v>1100</v>
      </c>
      <c r="D177" s="30" t="n">
        <v>5</v>
      </c>
      <c r="E177" s="6" t="s">
        <v>600</v>
      </c>
    </row>
    <row r="178" customFormat="false" ht="15" hidden="false" customHeight="false" outlineLevel="0" collapsed="false">
      <c r="A178" s="6" t="s">
        <v>1380</v>
      </c>
      <c r="B178" s="6" t="s">
        <v>1381</v>
      </c>
      <c r="C178" s="6" t="s">
        <v>1117</v>
      </c>
      <c r="D178" s="30" t="n">
        <v>5</v>
      </c>
      <c r="E178" s="6" t="s">
        <v>600</v>
      </c>
    </row>
    <row r="179" customFormat="false" ht="15" hidden="false" customHeight="false" outlineLevel="0" collapsed="false">
      <c r="A179" s="6" t="s">
        <v>1380</v>
      </c>
      <c r="B179" s="6" t="s">
        <v>1381</v>
      </c>
      <c r="C179" s="6" t="s">
        <v>1344</v>
      </c>
      <c r="D179" s="30" t="n">
        <v>5</v>
      </c>
      <c r="E179" s="6" t="s">
        <v>596</v>
      </c>
    </row>
    <row r="180" customFormat="false" ht="15" hidden="false" customHeight="false" outlineLevel="0" collapsed="false">
      <c r="A180" s="6" t="s">
        <v>1148</v>
      </c>
      <c r="B180" s="6" t="s">
        <v>1381</v>
      </c>
      <c r="C180" s="6" t="s">
        <v>1146</v>
      </c>
      <c r="D180" s="30" t="n">
        <v>5</v>
      </c>
      <c r="E180" s="6" t="s">
        <v>596</v>
      </c>
    </row>
    <row r="181" customFormat="false" ht="15" hidden="false" customHeight="false" outlineLevel="0" collapsed="false">
      <c r="A181" s="6" t="s">
        <v>1382</v>
      </c>
      <c r="B181" s="6" t="s">
        <v>1381</v>
      </c>
      <c r="C181" s="6" t="s">
        <v>1127</v>
      </c>
      <c r="D181" s="30" t="n">
        <v>5</v>
      </c>
      <c r="E181" s="6" t="s">
        <v>600</v>
      </c>
    </row>
    <row r="182" customFormat="false" ht="15" hidden="false" customHeight="false" outlineLevel="0" collapsed="false">
      <c r="A182" s="6" t="s">
        <v>1382</v>
      </c>
      <c r="B182" s="6" t="s">
        <v>1381</v>
      </c>
      <c r="C182" s="6" t="s">
        <v>1139</v>
      </c>
      <c r="D182" s="30" t="n">
        <v>5</v>
      </c>
      <c r="E182" s="6" t="s">
        <v>596</v>
      </c>
    </row>
    <row r="183" customFormat="false" ht="15" hidden="false" customHeight="false" outlineLevel="0" collapsed="false">
      <c r="A183" s="6" t="s">
        <v>1382</v>
      </c>
      <c r="B183" s="6" t="s">
        <v>1381</v>
      </c>
      <c r="C183" s="6" t="s">
        <v>1346</v>
      </c>
      <c r="D183" s="30" t="n">
        <v>5</v>
      </c>
      <c r="E183" s="6" t="s">
        <v>596</v>
      </c>
    </row>
    <row r="184" customFormat="false" ht="15" hidden="false" customHeight="false" outlineLevel="0" collapsed="false">
      <c r="A184" s="6" t="s">
        <v>1383</v>
      </c>
      <c r="B184" s="6" t="s">
        <v>1381</v>
      </c>
      <c r="C184" s="6" t="s">
        <v>1094</v>
      </c>
      <c r="D184" s="30" t="n">
        <v>5</v>
      </c>
      <c r="E184" s="6" t="s">
        <v>600</v>
      </c>
    </row>
    <row r="185" customFormat="false" ht="15" hidden="false" customHeight="false" outlineLevel="0" collapsed="false">
      <c r="A185" s="6" t="s">
        <v>1383</v>
      </c>
      <c r="B185" s="6" t="s">
        <v>1381</v>
      </c>
      <c r="C185" s="6" t="s">
        <v>1111</v>
      </c>
      <c r="D185" s="30" t="n">
        <v>5</v>
      </c>
      <c r="E185" s="6" t="s">
        <v>600</v>
      </c>
    </row>
    <row r="186" customFormat="false" ht="15" hidden="false" customHeight="false" outlineLevel="0" collapsed="false">
      <c r="A186" s="6" t="s">
        <v>1383</v>
      </c>
      <c r="B186" s="6" t="s">
        <v>1381</v>
      </c>
      <c r="C186" s="6" t="s">
        <v>1343</v>
      </c>
      <c r="D186" s="30" t="n">
        <v>5</v>
      </c>
      <c r="E186" s="6" t="s">
        <v>596</v>
      </c>
    </row>
    <row r="187" customFormat="false" ht="15" hidden="false" customHeight="false" outlineLevel="0" collapsed="false">
      <c r="A187" s="6" t="s">
        <v>1123</v>
      </c>
      <c r="B187" s="6" t="s">
        <v>399</v>
      </c>
      <c r="C187" s="6" t="s">
        <v>1121</v>
      </c>
      <c r="D187" s="30" t="n">
        <v>6</v>
      </c>
      <c r="E187" s="6" t="s">
        <v>600</v>
      </c>
    </row>
    <row r="188" customFormat="false" ht="15" hidden="false" customHeight="false" outlineLevel="0" collapsed="false">
      <c r="A188" s="6" t="s">
        <v>1123</v>
      </c>
      <c r="B188" s="6" t="s">
        <v>399</v>
      </c>
      <c r="C188" s="6" t="s">
        <v>1136</v>
      </c>
      <c r="D188" s="30" t="n">
        <v>6</v>
      </c>
      <c r="E188" s="6" t="s">
        <v>596</v>
      </c>
    </row>
    <row r="189" customFormat="false" ht="15" hidden="false" customHeight="false" outlineLevel="0" collapsed="false">
      <c r="A189" s="6" t="s">
        <v>1123</v>
      </c>
      <c r="B189" s="6" t="s">
        <v>399</v>
      </c>
      <c r="C189" s="6" t="s">
        <v>1345</v>
      </c>
      <c r="D189" s="30" t="n">
        <v>6</v>
      </c>
      <c r="E189" s="6" t="s">
        <v>596</v>
      </c>
    </row>
    <row r="190" customFormat="false" ht="15" hidden="false" customHeight="false" outlineLevel="0" collapsed="false">
      <c r="A190" s="6" t="s">
        <v>1384</v>
      </c>
      <c r="B190" s="6" t="s">
        <v>1385</v>
      </c>
      <c r="C190" s="6" t="s">
        <v>1062</v>
      </c>
      <c r="D190" s="30" t="n">
        <v>6</v>
      </c>
      <c r="E190" s="6" t="s">
        <v>596</v>
      </c>
    </row>
    <row r="191" customFormat="false" ht="15" hidden="false" customHeight="false" outlineLevel="0" collapsed="false">
      <c r="A191" s="6" t="s">
        <v>1384</v>
      </c>
      <c r="B191" s="6" t="s">
        <v>1385</v>
      </c>
      <c r="C191" s="6" t="s">
        <v>1168</v>
      </c>
      <c r="D191" s="30" t="n">
        <v>6</v>
      </c>
      <c r="E191" s="6" t="s">
        <v>600</v>
      </c>
    </row>
    <row r="192" customFormat="false" ht="15" hidden="false" customHeight="false" outlineLevel="0" collapsed="false">
      <c r="A192" s="6" t="s">
        <v>1153</v>
      </c>
      <c r="B192" s="6" t="s">
        <v>1385</v>
      </c>
      <c r="C192" s="6" t="s">
        <v>1151</v>
      </c>
      <c r="D192" s="30" t="n">
        <v>6</v>
      </c>
      <c r="E192" s="6" t="s">
        <v>596</v>
      </c>
    </row>
    <row r="193" customFormat="false" ht="15" hidden="false" customHeight="false" outlineLevel="0" collapsed="false">
      <c r="A193" s="6" t="s">
        <v>1386</v>
      </c>
      <c r="B193" s="6" t="s">
        <v>1385</v>
      </c>
      <c r="C193" s="6" t="s">
        <v>1071</v>
      </c>
      <c r="D193" s="30" t="n">
        <v>6</v>
      </c>
      <c r="E193" s="6" t="s">
        <v>596</v>
      </c>
    </row>
    <row r="194" customFormat="false" ht="15" hidden="false" customHeight="false" outlineLevel="0" collapsed="false">
      <c r="A194" s="6" t="s">
        <v>1386</v>
      </c>
      <c r="B194" s="6" t="s">
        <v>1385</v>
      </c>
      <c r="C194" s="6" t="s">
        <v>1174</v>
      </c>
      <c r="D194" s="30" t="n">
        <v>6</v>
      </c>
      <c r="E194" s="6" t="s">
        <v>600</v>
      </c>
    </row>
    <row r="195" customFormat="false" ht="15" hidden="false" customHeight="false" outlineLevel="0" collapsed="false">
      <c r="A195" s="6" t="s">
        <v>1387</v>
      </c>
      <c r="B195" s="6" t="s">
        <v>1385</v>
      </c>
      <c r="C195" s="6" t="s">
        <v>989</v>
      </c>
      <c r="D195" s="30" t="n">
        <v>6</v>
      </c>
      <c r="E195" s="6" t="s">
        <v>596</v>
      </c>
    </row>
    <row r="196" customFormat="false" ht="15" hidden="false" customHeight="false" outlineLevel="0" collapsed="false">
      <c r="A196" s="6" t="s">
        <v>1387</v>
      </c>
      <c r="B196" s="6" t="s">
        <v>1385</v>
      </c>
      <c r="C196" s="6" t="s">
        <v>1044</v>
      </c>
      <c r="D196" s="30" t="n">
        <v>6</v>
      </c>
      <c r="E196" s="6" t="s">
        <v>600</v>
      </c>
    </row>
    <row r="197" customFormat="false" ht="15" hidden="false" customHeight="false" outlineLevel="0" collapsed="false">
      <c r="A197" s="6" t="s">
        <v>1069</v>
      </c>
      <c r="B197" s="6" t="s">
        <v>384</v>
      </c>
      <c r="C197" s="6" t="s">
        <v>1066</v>
      </c>
      <c r="D197" s="30" t="n">
        <v>7</v>
      </c>
      <c r="E197" s="6" t="s">
        <v>596</v>
      </c>
    </row>
    <row r="198" customFormat="false" ht="15" hidden="false" customHeight="false" outlineLevel="0" collapsed="false">
      <c r="A198" s="6" t="s">
        <v>1069</v>
      </c>
      <c r="B198" s="6" t="s">
        <v>384</v>
      </c>
      <c r="C198" s="6" t="s">
        <v>1171</v>
      </c>
      <c r="D198" s="30" t="n">
        <v>5</v>
      </c>
      <c r="E198" s="6" t="s">
        <v>600</v>
      </c>
    </row>
    <row r="199" customFormat="false" ht="15" hidden="false" customHeight="false" outlineLevel="0" collapsed="false">
      <c r="A199" s="6" t="s">
        <v>1165</v>
      </c>
      <c r="B199" s="6" t="s">
        <v>1388</v>
      </c>
      <c r="C199" s="6" t="s">
        <v>1161</v>
      </c>
      <c r="D199" s="30" t="n">
        <v>5</v>
      </c>
      <c r="E199" s="6" t="s">
        <v>600</v>
      </c>
    </row>
    <row r="200" customFormat="false" ht="15" hidden="false" customHeight="false" outlineLevel="0" collapsed="false">
      <c r="A200" s="6" t="s">
        <v>1389</v>
      </c>
      <c r="B200" s="6" t="s">
        <v>1389</v>
      </c>
      <c r="C200" s="6" t="s">
        <v>1041</v>
      </c>
      <c r="D200" s="30" t="n">
        <v>0</v>
      </c>
      <c r="E200" s="6" t="s">
        <v>600</v>
      </c>
    </row>
    <row r="201" customFormat="false" ht="15" hidden="false" customHeight="false" outlineLevel="0" collapsed="false">
      <c r="A201" s="6" t="s">
        <v>1045</v>
      </c>
      <c r="B201" s="6" t="s">
        <v>1045</v>
      </c>
      <c r="C201" s="6" t="s">
        <v>1044</v>
      </c>
      <c r="D201" s="30" t="n">
        <v>0</v>
      </c>
      <c r="E201" s="6" t="s">
        <v>600</v>
      </c>
    </row>
    <row r="202" customFormat="false" ht="15" hidden="false" customHeight="false" outlineLevel="0" collapsed="false">
      <c r="A202" s="6" t="s">
        <v>1390</v>
      </c>
      <c r="B202" s="6" t="s">
        <v>1390</v>
      </c>
      <c r="C202" s="6" t="s">
        <v>1062</v>
      </c>
      <c r="D202" s="30" t="n">
        <v>0</v>
      </c>
      <c r="E202" s="6" t="s">
        <v>596</v>
      </c>
    </row>
    <row r="203" customFormat="false" ht="15" hidden="false" customHeight="false" outlineLevel="0" collapsed="false">
      <c r="A203" s="6" t="s">
        <v>1391</v>
      </c>
      <c r="B203" s="6" t="s">
        <v>1391</v>
      </c>
      <c r="C203" s="6" t="s">
        <v>1038</v>
      </c>
      <c r="D203" s="30" t="n">
        <v>0</v>
      </c>
      <c r="E203" s="6" t="s">
        <v>600</v>
      </c>
    </row>
    <row r="204" customFormat="false" ht="15" hidden="false" customHeight="false" outlineLevel="0" collapsed="false">
      <c r="A204" s="6" t="s">
        <v>1013</v>
      </c>
      <c r="B204" s="6" t="s">
        <v>1013</v>
      </c>
      <c r="C204" s="6" t="s">
        <v>1012</v>
      </c>
      <c r="D204" s="30" t="n">
        <v>0</v>
      </c>
      <c r="E204" s="6" t="s">
        <v>600</v>
      </c>
    </row>
    <row r="205" customFormat="false" ht="15" hidden="false" customHeight="false" outlineLevel="0" collapsed="false">
      <c r="A205" s="6" t="s">
        <v>1162</v>
      </c>
      <c r="B205" s="6" t="s">
        <v>1162</v>
      </c>
      <c r="C205" s="6" t="s">
        <v>1161</v>
      </c>
      <c r="D205" s="30" t="n">
        <v>0</v>
      </c>
      <c r="E205" s="6" t="s">
        <v>600</v>
      </c>
    </row>
    <row r="206" customFormat="false" ht="15" hidden="false" customHeight="false" outlineLevel="0" collapsed="false">
      <c r="A206" s="6" t="s">
        <v>1067</v>
      </c>
      <c r="B206" s="6" t="s">
        <v>1067</v>
      </c>
      <c r="C206" s="6" t="s">
        <v>1066</v>
      </c>
      <c r="D206" s="30" t="n">
        <v>0</v>
      </c>
      <c r="E206" s="6" t="s">
        <v>596</v>
      </c>
    </row>
    <row r="207" customFormat="false" ht="15" hidden="false" customHeight="false" outlineLevel="0" collapsed="false">
      <c r="A207" s="6" t="s">
        <v>1032</v>
      </c>
      <c r="B207" s="6" t="s">
        <v>1392</v>
      </c>
      <c r="C207" s="6" t="s">
        <v>1028</v>
      </c>
      <c r="D207" s="30" t="n">
        <v>10</v>
      </c>
      <c r="E207" s="6" t="s">
        <v>600</v>
      </c>
    </row>
    <row r="208" customFormat="false" ht="15" hidden="false" customHeight="false" outlineLevel="0" collapsed="false">
      <c r="A208" s="6" t="s">
        <v>1037</v>
      </c>
      <c r="B208" s="6" t="s">
        <v>1392</v>
      </c>
      <c r="C208" s="6" t="s">
        <v>1033</v>
      </c>
      <c r="D208" s="30" t="n">
        <v>10</v>
      </c>
      <c r="E208" s="6" t="s">
        <v>600</v>
      </c>
    </row>
    <row r="209" customFormat="false" ht="15" hidden="false" customHeight="false" outlineLevel="0" collapsed="false">
      <c r="A209" s="6" t="s">
        <v>1026</v>
      </c>
      <c r="B209" s="6" t="s">
        <v>1392</v>
      </c>
      <c r="C209" s="6" t="s">
        <v>1023</v>
      </c>
      <c r="D209" s="30" t="n">
        <v>10</v>
      </c>
      <c r="E209" s="6" t="s">
        <v>600</v>
      </c>
    </row>
    <row r="210" customFormat="false" ht="15" hidden="false" customHeight="false" outlineLevel="0" collapsed="false">
      <c r="A210" s="6" t="s">
        <v>1017</v>
      </c>
      <c r="B210" s="6" t="s">
        <v>1392</v>
      </c>
      <c r="C210" s="6" t="s">
        <v>1012</v>
      </c>
      <c r="D210" s="30" t="n">
        <v>10</v>
      </c>
      <c r="E210" s="6" t="s">
        <v>600</v>
      </c>
    </row>
    <row r="211" customFormat="false" ht="15" hidden="false" customHeight="false" outlineLevel="0" collapsed="false">
      <c r="A211" s="6" t="s">
        <v>1126</v>
      </c>
      <c r="B211" s="6" t="s">
        <v>1392</v>
      </c>
      <c r="C211" s="6" t="s">
        <v>1121</v>
      </c>
      <c r="D211" s="30" t="n">
        <v>12</v>
      </c>
      <c r="E211" s="6" t="s">
        <v>600</v>
      </c>
    </row>
    <row r="212" customFormat="false" ht="15" hidden="false" customHeight="false" outlineLevel="0" collapsed="false">
      <c r="A212" s="6" t="s">
        <v>1131</v>
      </c>
      <c r="B212" s="6" t="s">
        <v>1392</v>
      </c>
      <c r="C212" s="6" t="s">
        <v>1127</v>
      </c>
      <c r="D212" s="30" t="n">
        <v>12</v>
      </c>
      <c r="E212" s="6" t="s">
        <v>600</v>
      </c>
    </row>
    <row r="213" customFormat="false" ht="15" hidden="false" customHeight="false" outlineLevel="0" collapsed="false">
      <c r="A213" s="6" t="s">
        <v>1116</v>
      </c>
      <c r="B213" s="6" t="s">
        <v>1392</v>
      </c>
      <c r="C213" s="6" t="s">
        <v>1111</v>
      </c>
      <c r="D213" s="30" t="n">
        <v>12</v>
      </c>
      <c r="E213" s="6" t="s">
        <v>600</v>
      </c>
    </row>
    <row r="214" customFormat="false" ht="15" hidden="false" customHeight="false" outlineLevel="0" collapsed="false">
      <c r="A214" s="6" t="s">
        <v>993</v>
      </c>
      <c r="B214" s="6" t="s">
        <v>1392</v>
      </c>
      <c r="C214" s="6" t="s">
        <v>989</v>
      </c>
      <c r="D214" s="30" t="n">
        <v>12</v>
      </c>
      <c r="E214" s="6" t="s">
        <v>596</v>
      </c>
    </row>
    <row r="215" customFormat="false" ht="15" hidden="false" customHeight="false" outlineLevel="0" collapsed="false">
      <c r="A215" s="6" t="s">
        <v>998</v>
      </c>
      <c r="B215" s="6" t="s">
        <v>1392</v>
      </c>
      <c r="C215" s="6" t="s">
        <v>995</v>
      </c>
      <c r="D215" s="30" t="n">
        <v>10</v>
      </c>
      <c r="E215" s="6" t="s">
        <v>596</v>
      </c>
    </row>
    <row r="216" customFormat="false" ht="15" hidden="false" customHeight="false" outlineLevel="0" collapsed="false">
      <c r="A216" s="6" t="s">
        <v>987</v>
      </c>
      <c r="B216" s="6" t="s">
        <v>1392</v>
      </c>
      <c r="C216" s="6" t="s">
        <v>982</v>
      </c>
      <c r="D216" s="30" t="n">
        <v>10</v>
      </c>
      <c r="E216" s="6" t="s">
        <v>596</v>
      </c>
    </row>
    <row r="217" customFormat="false" ht="15" hidden="false" customHeight="false" outlineLevel="0" collapsed="false">
      <c r="A217" s="6" t="s">
        <v>1052</v>
      </c>
      <c r="B217" s="6" t="s">
        <v>1392</v>
      </c>
      <c r="C217" s="6" t="s">
        <v>1048</v>
      </c>
      <c r="D217" s="30" t="n">
        <v>10</v>
      </c>
      <c r="E217" s="6" t="s">
        <v>596</v>
      </c>
    </row>
    <row r="218" customFormat="false" ht="15" hidden="false" customHeight="false" outlineLevel="0" collapsed="false">
      <c r="A218" s="6" t="s">
        <v>1058</v>
      </c>
      <c r="B218" s="6" t="s">
        <v>1392</v>
      </c>
      <c r="C218" s="6" t="s">
        <v>1054</v>
      </c>
      <c r="D218" s="30" t="n">
        <v>10</v>
      </c>
      <c r="E218" s="6" t="s">
        <v>596</v>
      </c>
    </row>
    <row r="219" customFormat="false" ht="15" hidden="false" customHeight="false" outlineLevel="0" collapsed="false">
      <c r="A219" s="6" t="s">
        <v>1104</v>
      </c>
      <c r="B219" s="6" t="s">
        <v>1392</v>
      </c>
      <c r="C219" s="6" t="s">
        <v>1100</v>
      </c>
      <c r="D219" s="30" t="n">
        <v>10</v>
      </c>
      <c r="E219" s="6" t="s">
        <v>600</v>
      </c>
    </row>
    <row r="220" customFormat="false" ht="15" hidden="false" customHeight="false" outlineLevel="0" collapsed="false">
      <c r="A220" s="6" t="s">
        <v>1109</v>
      </c>
      <c r="B220" s="6" t="s">
        <v>1392</v>
      </c>
      <c r="C220" s="6" t="s">
        <v>1106</v>
      </c>
      <c r="D220" s="30" t="n">
        <v>10</v>
      </c>
      <c r="E220" s="6" t="s">
        <v>600</v>
      </c>
    </row>
    <row r="221" customFormat="false" ht="15" hidden="false" customHeight="false" outlineLevel="0" collapsed="false">
      <c r="A221" s="6" t="s">
        <v>1114</v>
      </c>
      <c r="B221" s="6" t="s">
        <v>1392</v>
      </c>
      <c r="C221" s="6" t="s">
        <v>1111</v>
      </c>
      <c r="D221" s="30" t="n">
        <v>10</v>
      </c>
      <c r="E221" s="6" t="s">
        <v>600</v>
      </c>
    </row>
    <row r="222" customFormat="false" ht="15" hidden="false" customHeight="false" outlineLevel="0" collapsed="false">
      <c r="A222" s="6" t="s">
        <v>1119</v>
      </c>
      <c r="B222" s="6" t="s">
        <v>1392</v>
      </c>
      <c r="C222" s="6" t="s">
        <v>1117</v>
      </c>
      <c r="D222" s="30" t="n">
        <v>10</v>
      </c>
      <c r="E222" s="6" t="s">
        <v>600</v>
      </c>
    </row>
    <row r="223" customFormat="false" ht="15" hidden="false" customHeight="false" outlineLevel="0" collapsed="false">
      <c r="A223" s="6" t="s">
        <v>1075</v>
      </c>
      <c r="B223" s="6" t="s">
        <v>1392</v>
      </c>
      <c r="C223" s="6" t="s">
        <v>1071</v>
      </c>
      <c r="D223" s="30" t="n">
        <v>10</v>
      </c>
      <c r="E223" s="6" t="s">
        <v>596</v>
      </c>
    </row>
    <row r="224" customFormat="false" ht="15" hidden="false" customHeight="false" outlineLevel="0" collapsed="false">
      <c r="A224" s="6" t="s">
        <v>1137</v>
      </c>
      <c r="B224" s="6" t="s">
        <v>1392</v>
      </c>
      <c r="C224" s="6" t="s">
        <v>1136</v>
      </c>
      <c r="D224" s="30" t="n">
        <v>10</v>
      </c>
      <c r="E224" s="6" t="s">
        <v>596</v>
      </c>
    </row>
    <row r="225" customFormat="false" ht="15" hidden="false" customHeight="false" outlineLevel="0" collapsed="false">
      <c r="A225" s="6" t="s">
        <v>1137</v>
      </c>
      <c r="B225" s="6" t="s">
        <v>1392</v>
      </c>
      <c r="C225" s="6" t="s">
        <v>1354</v>
      </c>
      <c r="D225" s="30" t="n">
        <v>10</v>
      </c>
      <c r="E225" s="6" t="s">
        <v>600</v>
      </c>
    </row>
    <row r="226" customFormat="false" ht="15" hidden="false" customHeight="false" outlineLevel="0" collapsed="false">
      <c r="A226" s="6" t="s">
        <v>1140</v>
      </c>
      <c r="B226" s="6" t="s">
        <v>1392</v>
      </c>
      <c r="C226" s="6" t="s">
        <v>1139</v>
      </c>
      <c r="D226" s="30" t="n">
        <v>10</v>
      </c>
      <c r="E226" s="6" t="s">
        <v>596</v>
      </c>
    </row>
    <row r="227" customFormat="false" ht="15" hidden="false" customHeight="false" outlineLevel="0" collapsed="false">
      <c r="A227" s="6" t="s">
        <v>1140</v>
      </c>
      <c r="B227" s="6" t="s">
        <v>1392</v>
      </c>
      <c r="C227" s="6" t="s">
        <v>1330</v>
      </c>
      <c r="D227" s="30" t="n">
        <v>10</v>
      </c>
      <c r="E227" s="6" t="s">
        <v>596</v>
      </c>
    </row>
    <row r="228" customFormat="false" ht="15" hidden="false" customHeight="false" outlineLevel="0" collapsed="false">
      <c r="A228" s="6" t="s">
        <v>1133</v>
      </c>
      <c r="B228" s="6" t="s">
        <v>1392</v>
      </c>
      <c r="C228" s="6" t="s">
        <v>1132</v>
      </c>
      <c r="D228" s="30" t="n">
        <v>10</v>
      </c>
      <c r="E228" s="6" t="s">
        <v>596</v>
      </c>
    </row>
    <row r="229" customFormat="false" ht="15" hidden="false" customHeight="false" outlineLevel="0" collapsed="false">
      <c r="A229" s="6" t="s">
        <v>1128</v>
      </c>
      <c r="B229" s="6" t="s">
        <v>1393</v>
      </c>
      <c r="C229" s="6" t="s">
        <v>1127</v>
      </c>
      <c r="D229" s="30" t="n">
        <v>0</v>
      </c>
      <c r="E229" s="6" t="s">
        <v>600</v>
      </c>
    </row>
    <row r="230" customFormat="false" ht="15" hidden="false" customHeight="false" outlineLevel="0" collapsed="false">
      <c r="A230" s="6" t="s">
        <v>1176</v>
      </c>
      <c r="B230" s="6" t="s">
        <v>297</v>
      </c>
      <c r="C230" s="6" t="s">
        <v>1174</v>
      </c>
      <c r="D230" s="30" t="n">
        <v>12</v>
      </c>
      <c r="E230" s="6" t="s">
        <v>600</v>
      </c>
    </row>
    <row r="231" customFormat="false" ht="15" hidden="false" customHeight="false" outlineLevel="0" collapsed="false">
      <c r="A231" s="6" t="s">
        <v>1190</v>
      </c>
      <c r="B231" s="6" t="s">
        <v>297</v>
      </c>
      <c r="C231" s="6" t="s">
        <v>1187</v>
      </c>
      <c r="D231" s="30" t="n">
        <v>12</v>
      </c>
      <c r="E231" s="6" t="s">
        <v>596</v>
      </c>
    </row>
    <row r="232" customFormat="false" ht="15" hidden="false" customHeight="false" outlineLevel="0" collapsed="false">
      <c r="A232" s="6" t="s">
        <v>1159</v>
      </c>
      <c r="B232" s="6" t="s">
        <v>297</v>
      </c>
      <c r="C232" s="6" t="s">
        <v>1156</v>
      </c>
      <c r="D232" s="30" t="n">
        <v>12</v>
      </c>
      <c r="E232" s="6" t="s">
        <v>600</v>
      </c>
    </row>
    <row r="233" customFormat="false" ht="15" hidden="false" customHeight="false" outlineLevel="0" collapsed="false">
      <c r="A233" s="6" t="s">
        <v>1166</v>
      </c>
      <c r="B233" s="6" t="s">
        <v>297</v>
      </c>
      <c r="C233" s="6" t="s">
        <v>1161</v>
      </c>
      <c r="D233" s="30" t="n">
        <v>12</v>
      </c>
      <c r="E233" s="6" t="s">
        <v>600</v>
      </c>
    </row>
    <row r="234" customFormat="false" ht="15" hidden="false" customHeight="false" outlineLevel="0" collapsed="false">
      <c r="A234" s="6" t="s">
        <v>1169</v>
      </c>
      <c r="B234" s="6" t="s">
        <v>297</v>
      </c>
      <c r="C234" s="6" t="s">
        <v>1168</v>
      </c>
      <c r="D234" s="30" t="n">
        <v>12</v>
      </c>
      <c r="E234" s="6" t="s">
        <v>600</v>
      </c>
    </row>
    <row r="235" customFormat="false" ht="15" hidden="false" customHeight="false" outlineLevel="0" collapsed="false">
      <c r="A235" s="6" t="s">
        <v>1172</v>
      </c>
      <c r="B235" s="6" t="s">
        <v>297</v>
      </c>
      <c r="C235" s="6" t="s">
        <v>1171</v>
      </c>
      <c r="D235" s="30" t="n">
        <v>12</v>
      </c>
      <c r="E235" s="6" t="s">
        <v>600</v>
      </c>
    </row>
    <row r="236" customFormat="false" ht="15" hidden="false" customHeight="false" outlineLevel="0" collapsed="false">
      <c r="A236" s="6" t="s">
        <v>1092</v>
      </c>
      <c r="B236" s="6" t="s">
        <v>297</v>
      </c>
      <c r="C236" s="6" t="s">
        <v>1088</v>
      </c>
      <c r="D236" s="30" t="n">
        <v>12</v>
      </c>
      <c r="E236" s="6" t="s">
        <v>600</v>
      </c>
    </row>
    <row r="237" customFormat="false" ht="15" hidden="false" customHeight="false" outlineLevel="0" collapsed="false">
      <c r="A237" s="6" t="s">
        <v>1098</v>
      </c>
      <c r="B237" s="6" t="s">
        <v>297</v>
      </c>
      <c r="C237" s="6" t="s">
        <v>1094</v>
      </c>
      <c r="D237" s="30" t="n">
        <v>12</v>
      </c>
      <c r="E237" s="6" t="s">
        <v>600</v>
      </c>
    </row>
    <row r="238" customFormat="false" ht="15" hidden="false" customHeight="false" outlineLevel="0" collapsed="false">
      <c r="A238" s="6" t="s">
        <v>1150</v>
      </c>
      <c r="B238" s="6" t="s">
        <v>297</v>
      </c>
      <c r="C238" s="6" t="s">
        <v>1146</v>
      </c>
      <c r="D238" s="30" t="n">
        <v>12</v>
      </c>
      <c r="E238" s="6" t="s">
        <v>596</v>
      </c>
    </row>
    <row r="239" customFormat="false" ht="15" hidden="false" customHeight="false" outlineLevel="0" collapsed="false">
      <c r="A239" s="6" t="s">
        <v>1155</v>
      </c>
      <c r="B239" s="6" t="s">
        <v>297</v>
      </c>
      <c r="C239" s="6" t="s">
        <v>1151</v>
      </c>
      <c r="D239" s="30" t="n">
        <v>12</v>
      </c>
      <c r="E239" s="6" t="s">
        <v>596</v>
      </c>
    </row>
    <row r="240" customFormat="false" ht="15" hidden="false" customHeight="false" outlineLevel="0" collapsed="false">
      <c r="A240" s="6" t="s">
        <v>1003</v>
      </c>
      <c r="B240" s="6" t="s">
        <v>291</v>
      </c>
      <c r="C240" s="6" t="s">
        <v>999</v>
      </c>
      <c r="D240" s="30" t="n">
        <v>5</v>
      </c>
      <c r="E240" s="6" t="s">
        <v>596</v>
      </c>
    </row>
    <row r="241" customFormat="false" ht="15" hidden="false" customHeight="false" outlineLevel="0" collapsed="false">
      <c r="A241" s="6" t="s">
        <v>1003</v>
      </c>
      <c r="B241" s="6" t="s">
        <v>291</v>
      </c>
      <c r="C241" s="6" t="s">
        <v>1066</v>
      </c>
      <c r="D241" s="30" t="n">
        <v>5</v>
      </c>
      <c r="E241" s="6" t="s">
        <v>596</v>
      </c>
    </row>
    <row r="242" customFormat="false" ht="15" hidden="false" customHeight="false" outlineLevel="0" collapsed="false">
      <c r="A242" s="6" t="s">
        <v>1009</v>
      </c>
      <c r="B242" s="6" t="s">
        <v>291</v>
      </c>
      <c r="C242" s="6" t="s">
        <v>1006</v>
      </c>
      <c r="D242" s="30" t="n">
        <v>5</v>
      </c>
      <c r="E242" s="6" t="s">
        <v>596</v>
      </c>
    </row>
    <row r="243" customFormat="false" ht="15" hidden="false" customHeight="false" outlineLevel="0" collapsed="false">
      <c r="A243" s="6" t="s">
        <v>1009</v>
      </c>
      <c r="B243" s="6" t="s">
        <v>291</v>
      </c>
      <c r="C243" s="6" t="s">
        <v>1071</v>
      </c>
      <c r="D243" s="30" t="n">
        <v>5</v>
      </c>
      <c r="E243" s="6" t="s">
        <v>596</v>
      </c>
    </row>
    <row r="244" customFormat="false" ht="15" hidden="false" customHeight="false" outlineLevel="0" collapsed="false">
      <c r="A244" s="6" t="s">
        <v>990</v>
      </c>
      <c r="B244" s="6" t="s">
        <v>291</v>
      </c>
      <c r="C244" s="6" t="s">
        <v>989</v>
      </c>
      <c r="D244" s="30" t="n">
        <v>5</v>
      </c>
      <c r="E244" s="6" t="s">
        <v>596</v>
      </c>
    </row>
    <row r="245" customFormat="false" ht="15" hidden="false" customHeight="false" outlineLevel="0" collapsed="false">
      <c r="A245" s="6" t="s">
        <v>990</v>
      </c>
      <c r="B245" s="6" t="s">
        <v>291</v>
      </c>
      <c r="C245" s="6" t="s">
        <v>1044</v>
      </c>
      <c r="D245" s="30" t="n">
        <v>5</v>
      </c>
      <c r="E245" s="6" t="s">
        <v>600</v>
      </c>
    </row>
    <row r="246" customFormat="false" ht="15" hidden="false" customHeight="false" outlineLevel="0" collapsed="false">
      <c r="A246" s="6" t="s">
        <v>997</v>
      </c>
      <c r="B246" s="6" t="s">
        <v>291</v>
      </c>
      <c r="C246" s="6" t="s">
        <v>995</v>
      </c>
      <c r="D246" s="30" t="n">
        <v>5</v>
      </c>
      <c r="E246" s="6" t="s">
        <v>596</v>
      </c>
    </row>
    <row r="247" customFormat="false" ht="15" hidden="false" customHeight="false" outlineLevel="0" collapsed="false">
      <c r="A247" s="6" t="s">
        <v>997</v>
      </c>
      <c r="B247" s="6" t="s">
        <v>291</v>
      </c>
      <c r="C247" s="6" t="s">
        <v>1062</v>
      </c>
      <c r="D247" s="30" t="n">
        <v>5</v>
      </c>
      <c r="E247" s="6" t="s">
        <v>596</v>
      </c>
    </row>
    <row r="248" customFormat="false" ht="15" hidden="false" customHeight="false" outlineLevel="0" collapsed="false">
      <c r="A248" s="6" t="s">
        <v>1122</v>
      </c>
      <c r="B248" s="6" t="s">
        <v>1394</v>
      </c>
      <c r="C248" s="6" t="s">
        <v>1121</v>
      </c>
      <c r="D248" s="30" t="n">
        <v>5</v>
      </c>
      <c r="E248" s="6" t="s">
        <v>600</v>
      </c>
    </row>
    <row r="249" customFormat="false" ht="15" hidden="false" customHeight="false" outlineLevel="0" collapsed="false">
      <c r="A249" s="6" t="s">
        <v>1122</v>
      </c>
      <c r="B249" s="6" t="s">
        <v>1394</v>
      </c>
      <c r="C249" s="6" t="s">
        <v>1136</v>
      </c>
      <c r="D249" s="30" t="n">
        <v>5</v>
      </c>
      <c r="E249" s="6" t="s">
        <v>596</v>
      </c>
    </row>
    <row r="250" customFormat="false" ht="15" hidden="false" customHeight="false" outlineLevel="0" collapsed="false">
      <c r="A250" s="6" t="s">
        <v>1122</v>
      </c>
      <c r="B250" s="6" t="s">
        <v>1394</v>
      </c>
      <c r="C250" s="6" t="s">
        <v>1345</v>
      </c>
      <c r="D250" s="30" t="n">
        <v>5</v>
      </c>
      <c r="E250" s="6" t="s">
        <v>596</v>
      </c>
    </row>
    <row r="251" customFormat="false" ht="15" hidden="false" customHeight="false" outlineLevel="0" collapsed="false">
      <c r="A251" s="6" t="s">
        <v>1395</v>
      </c>
      <c r="B251" s="6" t="s">
        <v>1394</v>
      </c>
      <c r="C251" s="6" t="s">
        <v>1127</v>
      </c>
      <c r="D251" s="30" t="n">
        <v>5</v>
      </c>
      <c r="E251" s="6" t="s">
        <v>600</v>
      </c>
    </row>
    <row r="252" customFormat="false" ht="15" hidden="false" customHeight="false" outlineLevel="0" collapsed="false">
      <c r="A252" s="6" t="s">
        <v>1395</v>
      </c>
      <c r="B252" s="6" t="s">
        <v>1394</v>
      </c>
      <c r="C252" s="6" t="s">
        <v>1139</v>
      </c>
      <c r="D252" s="30" t="n">
        <v>5</v>
      </c>
      <c r="E252" s="6" t="s">
        <v>596</v>
      </c>
    </row>
    <row r="253" customFormat="false" ht="15" hidden="false" customHeight="false" outlineLevel="0" collapsed="false">
      <c r="A253" s="6" t="s">
        <v>1395</v>
      </c>
      <c r="B253" s="6" t="s">
        <v>1394</v>
      </c>
      <c r="C253" s="6" t="s">
        <v>1346</v>
      </c>
      <c r="D253" s="30" t="n">
        <v>5</v>
      </c>
      <c r="E253" s="6" t="s">
        <v>596</v>
      </c>
    </row>
    <row r="254" customFormat="false" ht="15" hidden="false" customHeight="false" outlineLevel="0" collapsed="false">
      <c r="A254" s="6" t="s">
        <v>1396</v>
      </c>
      <c r="B254" s="6" t="s">
        <v>1394</v>
      </c>
      <c r="C254" s="6" t="s">
        <v>1094</v>
      </c>
      <c r="D254" s="30" t="n">
        <v>5</v>
      </c>
      <c r="E254" s="6" t="s">
        <v>600</v>
      </c>
    </row>
    <row r="255" customFormat="false" ht="15" hidden="false" customHeight="false" outlineLevel="0" collapsed="false">
      <c r="A255" s="6" t="s">
        <v>1396</v>
      </c>
      <c r="B255" s="6" t="s">
        <v>1394</v>
      </c>
      <c r="C255" s="6" t="s">
        <v>1111</v>
      </c>
      <c r="D255" s="30" t="n">
        <v>5</v>
      </c>
      <c r="E255" s="6" t="s">
        <v>600</v>
      </c>
    </row>
    <row r="256" customFormat="false" ht="15" hidden="false" customHeight="false" outlineLevel="0" collapsed="false">
      <c r="A256" s="6" t="s">
        <v>1396</v>
      </c>
      <c r="B256" s="6" t="s">
        <v>1394</v>
      </c>
      <c r="C256" s="6" t="s">
        <v>1343</v>
      </c>
      <c r="D256" s="30" t="n">
        <v>5</v>
      </c>
      <c r="E256" s="6" t="s">
        <v>596</v>
      </c>
    </row>
    <row r="257" customFormat="false" ht="15" hidden="false" customHeight="false" outlineLevel="0" collapsed="false">
      <c r="A257" s="6" t="s">
        <v>1397</v>
      </c>
      <c r="B257" s="6" t="s">
        <v>1394</v>
      </c>
      <c r="C257" s="6" t="s">
        <v>1100</v>
      </c>
      <c r="D257" s="30" t="n">
        <v>5</v>
      </c>
      <c r="E257" s="6" t="s">
        <v>600</v>
      </c>
    </row>
    <row r="258" customFormat="false" ht="15" hidden="false" customHeight="false" outlineLevel="0" collapsed="false">
      <c r="A258" s="6" t="s">
        <v>1397</v>
      </c>
      <c r="B258" s="6" t="s">
        <v>1394</v>
      </c>
      <c r="C258" s="6" t="s">
        <v>1117</v>
      </c>
      <c r="D258" s="30" t="n">
        <v>5</v>
      </c>
      <c r="E258" s="6" t="s">
        <v>600</v>
      </c>
    </row>
    <row r="259" customFormat="false" ht="15" hidden="false" customHeight="false" outlineLevel="0" collapsed="false">
      <c r="A259" s="6" t="s">
        <v>1397</v>
      </c>
      <c r="B259" s="6" t="s">
        <v>1394</v>
      </c>
      <c r="C259" s="6" t="s">
        <v>1344</v>
      </c>
      <c r="D259" s="30" t="n">
        <v>5</v>
      </c>
      <c r="E259" s="6" t="s">
        <v>596</v>
      </c>
    </row>
    <row r="260" customFormat="false" ht="15" hidden="false" customHeight="false" outlineLevel="0" collapsed="false">
      <c r="A260" s="6" t="s">
        <v>1068</v>
      </c>
      <c r="B260" s="6" t="s">
        <v>1398</v>
      </c>
      <c r="C260" s="6" t="s">
        <v>1066</v>
      </c>
      <c r="D260" s="30" t="n">
        <v>6</v>
      </c>
      <c r="E260" s="6" t="s">
        <v>596</v>
      </c>
    </row>
    <row r="261" customFormat="false" ht="15" hidden="false" customHeight="false" outlineLevel="0" collapsed="false">
      <c r="A261" s="6" t="s">
        <v>1068</v>
      </c>
      <c r="B261" s="6" t="s">
        <v>1398</v>
      </c>
      <c r="C261" s="6" t="s">
        <v>1171</v>
      </c>
      <c r="D261" s="30" t="n">
        <v>6</v>
      </c>
      <c r="E261" s="6" t="s">
        <v>600</v>
      </c>
    </row>
    <row r="262" customFormat="false" ht="15" hidden="false" customHeight="false" outlineLevel="0" collapsed="false">
      <c r="A262" s="6" t="s">
        <v>1399</v>
      </c>
      <c r="B262" s="6" t="s">
        <v>1398</v>
      </c>
      <c r="C262" s="6" t="s">
        <v>1071</v>
      </c>
      <c r="D262" s="30" t="n">
        <v>6</v>
      </c>
      <c r="E262" s="6" t="s">
        <v>596</v>
      </c>
    </row>
    <row r="263" customFormat="false" ht="15" hidden="false" customHeight="false" outlineLevel="0" collapsed="false">
      <c r="A263" s="6" t="s">
        <v>1399</v>
      </c>
      <c r="B263" s="6" t="s">
        <v>1398</v>
      </c>
      <c r="C263" s="6" t="s">
        <v>1174</v>
      </c>
      <c r="D263" s="30" t="n">
        <v>6</v>
      </c>
      <c r="E263" s="6" t="s">
        <v>600</v>
      </c>
    </row>
    <row r="264" customFormat="false" ht="15" hidden="false" customHeight="false" outlineLevel="0" collapsed="false">
      <c r="A264" s="6" t="s">
        <v>1400</v>
      </c>
      <c r="B264" s="6" t="s">
        <v>1398</v>
      </c>
      <c r="C264" s="6" t="s">
        <v>989</v>
      </c>
      <c r="D264" s="30" t="n">
        <v>6</v>
      </c>
      <c r="E264" s="6" t="s">
        <v>596</v>
      </c>
    </row>
    <row r="265" customFormat="false" ht="15" hidden="false" customHeight="false" outlineLevel="0" collapsed="false">
      <c r="A265" s="6" t="s">
        <v>1400</v>
      </c>
      <c r="B265" s="6" t="s">
        <v>1398</v>
      </c>
      <c r="C265" s="6" t="s">
        <v>1044</v>
      </c>
      <c r="D265" s="30" t="n">
        <v>6</v>
      </c>
      <c r="E265" s="6" t="s">
        <v>600</v>
      </c>
    </row>
    <row r="266" customFormat="false" ht="15" hidden="false" customHeight="false" outlineLevel="0" collapsed="false">
      <c r="A266" s="6" t="s">
        <v>1401</v>
      </c>
      <c r="B266" s="6" t="s">
        <v>1398</v>
      </c>
      <c r="C266" s="6" t="s">
        <v>1062</v>
      </c>
      <c r="D266" s="30" t="n">
        <v>6</v>
      </c>
      <c r="E266" s="6" t="s">
        <v>596</v>
      </c>
    </row>
    <row r="267" customFormat="false" ht="15" hidden="false" customHeight="false" outlineLevel="0" collapsed="false">
      <c r="A267" s="6" t="s">
        <v>1401</v>
      </c>
      <c r="B267" s="6" t="s">
        <v>1398</v>
      </c>
      <c r="C267" s="6" t="s">
        <v>1168</v>
      </c>
      <c r="D267" s="30" t="n">
        <v>6</v>
      </c>
      <c r="E267" s="6" t="s">
        <v>600</v>
      </c>
    </row>
    <row r="268" customFormat="false" ht="15" hidden="false" customHeight="false" outlineLevel="0" collapsed="false">
      <c r="A268" s="6" t="s">
        <v>1402</v>
      </c>
      <c r="B268" s="6" t="s">
        <v>1402</v>
      </c>
      <c r="C268" s="6" t="s">
        <v>1041</v>
      </c>
      <c r="D268" s="30" t="n">
        <v>0</v>
      </c>
      <c r="E268" s="6" t="s">
        <v>600</v>
      </c>
    </row>
    <row r="269" customFormat="false" ht="15" hidden="false" customHeight="false" outlineLevel="0" collapsed="false">
      <c r="A269" s="6" t="s">
        <v>1403</v>
      </c>
      <c r="B269" s="6" t="s">
        <v>1403</v>
      </c>
      <c r="C269" s="6" t="s">
        <v>1038</v>
      </c>
      <c r="D269" s="30" t="n">
        <v>0</v>
      </c>
      <c r="E269" s="6" t="s">
        <v>600</v>
      </c>
    </row>
    <row r="270" customFormat="false" ht="15" hidden="false" customHeight="false" outlineLevel="0" collapsed="false">
      <c r="A270" s="6" t="s">
        <v>1000</v>
      </c>
      <c r="B270" s="6" t="s">
        <v>323</v>
      </c>
      <c r="C270" s="6" t="s">
        <v>999</v>
      </c>
      <c r="D270" s="30" t="n">
        <v>1</v>
      </c>
      <c r="E270" s="6" t="s">
        <v>596</v>
      </c>
    </row>
    <row r="271" customFormat="false" ht="15" hidden="false" customHeight="false" outlineLevel="0" collapsed="false">
      <c r="A271" s="6" t="s">
        <v>1000</v>
      </c>
      <c r="B271" s="6" t="s">
        <v>323</v>
      </c>
      <c r="C271" s="6" t="s">
        <v>1111</v>
      </c>
      <c r="D271" s="30" t="n">
        <v>1</v>
      </c>
      <c r="E271" s="6" t="s">
        <v>600</v>
      </c>
    </row>
    <row r="272" customFormat="false" ht="15" hidden="false" customHeight="false" outlineLevel="0" collapsed="false">
      <c r="A272" s="6" t="s">
        <v>1000</v>
      </c>
      <c r="B272" s="6" t="s">
        <v>323</v>
      </c>
      <c r="C272" s="6" t="s">
        <v>1254</v>
      </c>
      <c r="D272" s="30" t="n">
        <v>1</v>
      </c>
      <c r="E272" s="6" t="s">
        <v>600</v>
      </c>
    </row>
    <row r="273" customFormat="false" ht="15" hidden="false" customHeight="false" outlineLevel="0" collapsed="false">
      <c r="A273" s="6" t="s">
        <v>1014</v>
      </c>
      <c r="B273" s="6" t="s">
        <v>323</v>
      </c>
      <c r="C273" s="6" t="s">
        <v>1012</v>
      </c>
      <c r="D273" s="30" t="n">
        <v>1</v>
      </c>
      <c r="E273" s="6" t="s">
        <v>600</v>
      </c>
    </row>
    <row r="274" customFormat="false" ht="15" hidden="false" customHeight="false" outlineLevel="0" collapsed="false">
      <c r="A274" s="6" t="s">
        <v>1014</v>
      </c>
      <c r="B274" s="6" t="s">
        <v>323</v>
      </c>
      <c r="C274" s="6" t="s">
        <v>1242</v>
      </c>
      <c r="D274" s="30" t="n">
        <v>1</v>
      </c>
      <c r="E274" s="6" t="s">
        <v>600</v>
      </c>
    </row>
    <row r="275" customFormat="false" ht="15" hidden="false" customHeight="false" outlineLevel="0" collapsed="false">
      <c r="A275" s="6" t="s">
        <v>1007</v>
      </c>
      <c r="B275" s="6" t="s">
        <v>323</v>
      </c>
      <c r="C275" s="6" t="s">
        <v>1006</v>
      </c>
      <c r="D275" s="30" t="n">
        <v>1</v>
      </c>
      <c r="E275" s="6" t="s">
        <v>596</v>
      </c>
    </row>
    <row r="276" customFormat="false" ht="15" hidden="false" customHeight="false" outlineLevel="0" collapsed="false">
      <c r="A276" s="6" t="s">
        <v>1007</v>
      </c>
      <c r="B276" s="6" t="s">
        <v>323</v>
      </c>
      <c r="C276" s="6" t="s">
        <v>1117</v>
      </c>
      <c r="D276" s="30" t="n">
        <v>1</v>
      </c>
      <c r="E276" s="6" t="s">
        <v>600</v>
      </c>
    </row>
    <row r="277" customFormat="false" ht="15" hidden="false" customHeight="false" outlineLevel="0" collapsed="false">
      <c r="A277" s="6" t="s">
        <v>1007</v>
      </c>
      <c r="B277" s="6" t="s">
        <v>323</v>
      </c>
      <c r="C277" s="6" t="s">
        <v>1240</v>
      </c>
      <c r="D277" s="30" t="n">
        <v>1</v>
      </c>
      <c r="E277" s="6" t="s">
        <v>600</v>
      </c>
    </row>
    <row r="278" customFormat="false" ht="15" hidden="false" customHeight="false" outlineLevel="0" collapsed="false">
      <c r="A278" s="6" t="s">
        <v>1019</v>
      </c>
      <c r="B278" s="6" t="s">
        <v>323</v>
      </c>
      <c r="C278" s="6" t="s">
        <v>1018</v>
      </c>
      <c r="D278" s="30" t="n">
        <v>1</v>
      </c>
      <c r="E278" s="6" t="s">
        <v>600</v>
      </c>
    </row>
    <row r="279" customFormat="false" ht="15" hidden="false" customHeight="false" outlineLevel="0" collapsed="false">
      <c r="A279" s="6" t="s">
        <v>1019</v>
      </c>
      <c r="B279" s="6" t="s">
        <v>323</v>
      </c>
      <c r="C279" s="6" t="s">
        <v>1246</v>
      </c>
      <c r="D279" s="30" t="n">
        <v>1</v>
      </c>
      <c r="E279" s="6" t="s">
        <v>600</v>
      </c>
    </row>
    <row r="280" customFormat="false" ht="15" hidden="false" customHeight="false" outlineLevel="0" collapsed="false">
      <c r="A280" s="6" t="s">
        <v>1049</v>
      </c>
      <c r="B280" s="6" t="s">
        <v>323</v>
      </c>
      <c r="C280" s="6" t="s">
        <v>1048</v>
      </c>
      <c r="D280" s="30" t="n">
        <v>1</v>
      </c>
      <c r="E280" s="6" t="s">
        <v>596</v>
      </c>
    </row>
    <row r="281" customFormat="false" ht="15" hidden="false" customHeight="false" outlineLevel="0" collapsed="false">
      <c r="A281" s="6" t="s">
        <v>1049</v>
      </c>
      <c r="B281" s="6" t="s">
        <v>323</v>
      </c>
      <c r="C281" s="6" t="s">
        <v>1121</v>
      </c>
      <c r="D281" s="30" t="n">
        <v>1</v>
      </c>
      <c r="E281" s="6" t="s">
        <v>600</v>
      </c>
    </row>
    <row r="282" customFormat="false" ht="15" hidden="false" customHeight="false" outlineLevel="0" collapsed="false">
      <c r="A282" s="6" t="s">
        <v>1049</v>
      </c>
      <c r="B282" s="6" t="s">
        <v>323</v>
      </c>
      <c r="C282" s="6" t="s">
        <v>1244</v>
      </c>
      <c r="D282" s="30" t="n">
        <v>1</v>
      </c>
      <c r="E282" s="6" t="s">
        <v>600</v>
      </c>
    </row>
    <row r="283" customFormat="false" ht="15" hidden="false" customHeight="false" outlineLevel="0" collapsed="false">
      <c r="A283" s="6" t="s">
        <v>1024</v>
      </c>
      <c r="B283" s="6" t="s">
        <v>323</v>
      </c>
      <c r="C283" s="6" t="s">
        <v>1023</v>
      </c>
      <c r="D283" s="30" t="n">
        <v>1</v>
      </c>
      <c r="E283" s="6" t="s">
        <v>600</v>
      </c>
    </row>
    <row r="284" customFormat="false" ht="15" hidden="false" customHeight="false" outlineLevel="0" collapsed="false">
      <c r="A284" s="6" t="s">
        <v>1024</v>
      </c>
      <c r="B284" s="6" t="s">
        <v>323</v>
      </c>
      <c r="C284" s="6" t="s">
        <v>1250</v>
      </c>
      <c r="D284" s="30" t="n">
        <v>1</v>
      </c>
      <c r="E284" s="6" t="s">
        <v>600</v>
      </c>
    </row>
    <row r="285" customFormat="false" ht="15" hidden="false" customHeight="false" outlineLevel="0" collapsed="false">
      <c r="A285" s="6" t="s">
        <v>1055</v>
      </c>
      <c r="B285" s="6" t="s">
        <v>323</v>
      </c>
      <c r="C285" s="6" t="s">
        <v>1054</v>
      </c>
      <c r="D285" s="30" t="n">
        <v>1</v>
      </c>
      <c r="E285" s="6" t="s">
        <v>596</v>
      </c>
    </row>
    <row r="286" customFormat="false" ht="15" hidden="false" customHeight="false" outlineLevel="0" collapsed="false">
      <c r="A286" s="6" t="s">
        <v>1055</v>
      </c>
      <c r="B286" s="6" t="s">
        <v>323</v>
      </c>
      <c r="C286" s="6" t="s">
        <v>1127</v>
      </c>
      <c r="D286" s="30" t="n">
        <v>1</v>
      </c>
      <c r="E286" s="6" t="s">
        <v>600</v>
      </c>
    </row>
    <row r="287" customFormat="false" ht="15" hidden="false" customHeight="false" outlineLevel="0" collapsed="false">
      <c r="A287" s="6" t="s">
        <v>1055</v>
      </c>
      <c r="B287" s="6" t="s">
        <v>323</v>
      </c>
      <c r="C287" s="6" t="s">
        <v>1248</v>
      </c>
      <c r="D287" s="30" t="n">
        <v>1</v>
      </c>
      <c r="E287" s="6" t="s">
        <v>600</v>
      </c>
    </row>
    <row r="288" customFormat="false" ht="15" hidden="false" customHeight="false" outlineLevel="0" collapsed="false">
      <c r="A288" s="6" t="s">
        <v>1029</v>
      </c>
      <c r="B288" s="6" t="s">
        <v>323</v>
      </c>
      <c r="C288" s="6" t="s">
        <v>1028</v>
      </c>
      <c r="D288" s="30" t="n">
        <v>1</v>
      </c>
      <c r="E288" s="6" t="s">
        <v>600</v>
      </c>
    </row>
    <row r="289" customFormat="false" ht="15" hidden="false" customHeight="false" outlineLevel="0" collapsed="false">
      <c r="A289" s="6" t="s">
        <v>1029</v>
      </c>
      <c r="B289" s="6" t="s">
        <v>323</v>
      </c>
      <c r="C289" s="6" t="s">
        <v>1252</v>
      </c>
      <c r="D289" s="30" t="n">
        <v>1</v>
      </c>
      <c r="E289" s="6" t="s">
        <v>600</v>
      </c>
    </row>
    <row r="290" customFormat="false" ht="15" hidden="false" customHeight="false" outlineLevel="0" collapsed="false">
      <c r="A290" s="6" t="s">
        <v>1034</v>
      </c>
      <c r="B290" s="6" t="s">
        <v>323</v>
      </c>
      <c r="C290" s="6" t="s">
        <v>1033</v>
      </c>
      <c r="D290" s="30" t="n">
        <v>1</v>
      </c>
      <c r="E290" s="6" t="s">
        <v>600</v>
      </c>
    </row>
    <row r="291" customFormat="false" ht="15" hidden="false" customHeight="false" outlineLevel="0" collapsed="false">
      <c r="A291" s="6" t="s">
        <v>1034</v>
      </c>
      <c r="B291" s="6" t="s">
        <v>323</v>
      </c>
      <c r="C291" s="6" t="s">
        <v>1238</v>
      </c>
      <c r="D291" s="30" t="n">
        <v>1</v>
      </c>
      <c r="E291" s="6" t="s">
        <v>596</v>
      </c>
    </row>
    <row r="292" customFormat="false" ht="15" hidden="false" customHeight="false" outlineLevel="0" collapsed="false">
      <c r="A292" s="6" t="s">
        <v>1404</v>
      </c>
      <c r="B292" s="6" t="s">
        <v>455</v>
      </c>
      <c r="C292" s="6" t="s">
        <v>961</v>
      </c>
      <c r="D292" s="30" t="n">
        <v>1</v>
      </c>
      <c r="E292" s="6" t="s">
        <v>596</v>
      </c>
    </row>
    <row r="293" customFormat="false" ht="15" hidden="false" customHeight="false" outlineLevel="0" collapsed="false">
      <c r="A293" s="6" t="s">
        <v>1404</v>
      </c>
      <c r="B293" s="6" t="s">
        <v>455</v>
      </c>
      <c r="C293" s="6" t="s">
        <v>995</v>
      </c>
      <c r="D293" s="30" t="n">
        <v>1</v>
      </c>
      <c r="E293" s="6" t="s">
        <v>596</v>
      </c>
    </row>
    <row r="294" customFormat="false" ht="15" hidden="false" customHeight="false" outlineLevel="0" collapsed="false">
      <c r="A294" s="6" t="s">
        <v>1404</v>
      </c>
      <c r="B294" s="6" t="s">
        <v>455</v>
      </c>
      <c r="C294" s="6" t="s">
        <v>1044</v>
      </c>
      <c r="D294" s="30" t="n">
        <v>1</v>
      </c>
      <c r="E294" s="6" t="s">
        <v>600</v>
      </c>
    </row>
    <row r="295" customFormat="false" ht="15" hidden="false" customHeight="false" outlineLevel="0" collapsed="false">
      <c r="A295" s="6" t="s">
        <v>971</v>
      </c>
      <c r="B295" s="6" t="s">
        <v>455</v>
      </c>
      <c r="C295" s="6" t="s">
        <v>970</v>
      </c>
      <c r="D295" s="30" t="n">
        <v>1</v>
      </c>
      <c r="E295" s="6" t="s">
        <v>596</v>
      </c>
    </row>
    <row r="296" customFormat="false" ht="15" hidden="false" customHeight="false" outlineLevel="0" collapsed="false">
      <c r="A296" s="6" t="s">
        <v>971</v>
      </c>
      <c r="B296" s="6" t="s">
        <v>455</v>
      </c>
      <c r="C296" s="6" t="s">
        <v>1062</v>
      </c>
      <c r="D296" s="30" t="n">
        <v>1</v>
      </c>
      <c r="E296" s="6" t="s">
        <v>596</v>
      </c>
    </row>
    <row r="297" customFormat="false" ht="15" hidden="false" customHeight="false" outlineLevel="0" collapsed="false">
      <c r="A297" s="6" t="s">
        <v>977</v>
      </c>
      <c r="B297" s="6" t="s">
        <v>455</v>
      </c>
      <c r="C297" s="6" t="s">
        <v>976</v>
      </c>
      <c r="D297" s="30" t="n">
        <v>1</v>
      </c>
      <c r="E297" s="6" t="s">
        <v>596</v>
      </c>
    </row>
    <row r="298" customFormat="false" ht="15" hidden="false" customHeight="false" outlineLevel="0" collapsed="false">
      <c r="A298" s="6" t="s">
        <v>977</v>
      </c>
      <c r="B298" s="6" t="s">
        <v>455</v>
      </c>
      <c r="C298" s="6" t="s">
        <v>1100</v>
      </c>
      <c r="D298" s="30" t="n">
        <v>1</v>
      </c>
      <c r="E298" s="6" t="s">
        <v>600</v>
      </c>
    </row>
    <row r="299" customFormat="false" ht="15" hidden="false" customHeight="false" outlineLevel="0" collapsed="false">
      <c r="A299" s="6" t="s">
        <v>983</v>
      </c>
      <c r="B299" s="6" t="s">
        <v>455</v>
      </c>
      <c r="C299" s="6" t="s">
        <v>982</v>
      </c>
      <c r="D299" s="30" t="n">
        <v>1</v>
      </c>
      <c r="E299" s="6" t="s">
        <v>596</v>
      </c>
    </row>
    <row r="300" customFormat="false" ht="15" hidden="false" customHeight="false" outlineLevel="0" collapsed="false">
      <c r="A300" s="6" t="s">
        <v>983</v>
      </c>
      <c r="B300" s="6" t="s">
        <v>455</v>
      </c>
      <c r="C300" s="6" t="s">
        <v>1106</v>
      </c>
      <c r="D300" s="30" t="n">
        <v>1</v>
      </c>
      <c r="E300" s="6" t="s">
        <v>600</v>
      </c>
    </row>
    <row r="301" customFormat="false" ht="15" hidden="false" customHeight="false" outlineLevel="0" collapsed="false">
      <c r="A301" s="6" t="s">
        <v>1405</v>
      </c>
      <c r="B301" s="6" t="s">
        <v>455</v>
      </c>
      <c r="C301" s="6" t="s">
        <v>961</v>
      </c>
      <c r="D301" s="30" t="n">
        <v>1</v>
      </c>
      <c r="E301" s="6" t="s">
        <v>596</v>
      </c>
    </row>
    <row r="302" customFormat="false" ht="15" hidden="false" customHeight="false" outlineLevel="0" collapsed="false">
      <c r="A302" s="6" t="s">
        <v>1405</v>
      </c>
      <c r="B302" s="6" t="s">
        <v>455</v>
      </c>
      <c r="C302" s="6" t="s">
        <v>995</v>
      </c>
      <c r="D302" s="30" t="n">
        <v>1</v>
      </c>
      <c r="E302" s="6" t="s">
        <v>596</v>
      </c>
    </row>
    <row r="303" customFormat="false" ht="15" hidden="false" customHeight="false" outlineLevel="0" collapsed="false">
      <c r="A303" s="6" t="s">
        <v>1405</v>
      </c>
      <c r="B303" s="6" t="s">
        <v>455</v>
      </c>
      <c r="C303" s="6" t="s">
        <v>1044</v>
      </c>
      <c r="D303" s="30" t="n">
        <v>1</v>
      </c>
      <c r="E303" s="6" t="s">
        <v>600</v>
      </c>
    </row>
    <row r="304" customFormat="false" ht="15" hidden="false" customHeight="false" outlineLevel="0" collapsed="false">
      <c r="A304" s="6" t="s">
        <v>1001</v>
      </c>
      <c r="B304" s="6" t="s">
        <v>451</v>
      </c>
      <c r="C304" s="6" t="s">
        <v>999</v>
      </c>
      <c r="D304" s="30" t="n">
        <v>2</v>
      </c>
      <c r="E304" s="6" t="s">
        <v>596</v>
      </c>
    </row>
    <row r="305" customFormat="false" ht="15" hidden="false" customHeight="false" outlineLevel="0" collapsed="false">
      <c r="A305" s="6" t="s">
        <v>1001</v>
      </c>
      <c r="B305" s="6" t="s">
        <v>451</v>
      </c>
      <c r="C305" s="6" t="s">
        <v>1066</v>
      </c>
      <c r="D305" s="30" t="n">
        <v>2</v>
      </c>
      <c r="E305" s="6" t="s">
        <v>596</v>
      </c>
    </row>
    <row r="306" customFormat="false" ht="15" hidden="false" customHeight="false" outlineLevel="0" collapsed="false">
      <c r="A306" s="6" t="s">
        <v>1001</v>
      </c>
      <c r="B306" s="6" t="s">
        <v>451</v>
      </c>
      <c r="C306" s="6" t="s">
        <v>1146</v>
      </c>
      <c r="D306" s="30" t="n">
        <v>2</v>
      </c>
      <c r="E306" s="6" t="s">
        <v>596</v>
      </c>
    </row>
    <row r="307" customFormat="false" ht="15" hidden="false" customHeight="false" outlineLevel="0" collapsed="false">
      <c r="A307" s="6" t="s">
        <v>1008</v>
      </c>
      <c r="B307" s="6" t="s">
        <v>451</v>
      </c>
      <c r="C307" s="6" t="s">
        <v>1006</v>
      </c>
      <c r="D307" s="30" t="n">
        <v>2</v>
      </c>
      <c r="E307" s="6" t="s">
        <v>596</v>
      </c>
    </row>
    <row r="308" customFormat="false" ht="15" hidden="false" customHeight="false" outlineLevel="0" collapsed="false">
      <c r="A308" s="6" t="s">
        <v>1008</v>
      </c>
      <c r="B308" s="6" t="s">
        <v>451</v>
      </c>
      <c r="C308" s="6" t="s">
        <v>1071</v>
      </c>
      <c r="D308" s="30" t="n">
        <v>2</v>
      </c>
      <c r="E308" s="6" t="s">
        <v>596</v>
      </c>
    </row>
    <row r="309" customFormat="false" ht="15" hidden="false" customHeight="false" outlineLevel="0" collapsed="false">
      <c r="A309" s="6" t="s">
        <v>1008</v>
      </c>
      <c r="B309" s="6" t="s">
        <v>451</v>
      </c>
      <c r="C309" s="6" t="s">
        <v>1151</v>
      </c>
      <c r="D309" s="30" t="n">
        <v>2</v>
      </c>
      <c r="E309" s="6" t="s">
        <v>596</v>
      </c>
    </row>
    <row r="310" customFormat="false" ht="15" hidden="false" customHeight="false" outlineLevel="0" collapsed="false">
      <c r="A310" s="6" t="s">
        <v>1050</v>
      </c>
      <c r="B310" s="6" t="s">
        <v>451</v>
      </c>
      <c r="C310" s="6" t="s">
        <v>1048</v>
      </c>
      <c r="D310" s="30" t="n">
        <v>2</v>
      </c>
      <c r="E310" s="6" t="s">
        <v>596</v>
      </c>
    </row>
    <row r="311" customFormat="false" ht="15" hidden="false" customHeight="false" outlineLevel="0" collapsed="false">
      <c r="A311" s="6" t="s">
        <v>1050</v>
      </c>
      <c r="B311" s="6" t="s">
        <v>451</v>
      </c>
      <c r="C311" s="6" t="s">
        <v>1156</v>
      </c>
      <c r="D311" s="30" t="n">
        <v>2</v>
      </c>
      <c r="E311" s="6" t="s">
        <v>600</v>
      </c>
    </row>
    <row r="312" customFormat="false" ht="15" hidden="false" customHeight="false" outlineLevel="0" collapsed="false">
      <c r="A312" s="6" t="s">
        <v>1056</v>
      </c>
      <c r="B312" s="6" t="s">
        <v>451</v>
      </c>
      <c r="C312" s="6" t="s">
        <v>1054</v>
      </c>
      <c r="D312" s="30" t="n">
        <v>2</v>
      </c>
      <c r="E312" s="6" t="s">
        <v>596</v>
      </c>
    </row>
    <row r="313" customFormat="false" ht="15" hidden="false" customHeight="false" outlineLevel="0" collapsed="false">
      <c r="A313" s="6" t="s">
        <v>1056</v>
      </c>
      <c r="B313" s="6" t="s">
        <v>451</v>
      </c>
      <c r="C313" s="6" t="s">
        <v>1161</v>
      </c>
      <c r="D313" s="30" t="n">
        <v>2</v>
      </c>
      <c r="E313" s="6" t="s">
        <v>600</v>
      </c>
    </row>
    <row r="314" customFormat="false" ht="15" hidden="false" customHeight="false" outlineLevel="0" collapsed="false">
      <c r="A314" s="6" t="s">
        <v>1188</v>
      </c>
      <c r="B314" s="6" t="s">
        <v>451</v>
      </c>
      <c r="C314" s="6" t="s">
        <v>1187</v>
      </c>
      <c r="D314" s="30" t="n">
        <v>2</v>
      </c>
      <c r="E314" s="6" t="s">
        <v>596</v>
      </c>
    </row>
    <row r="315" customFormat="false" ht="15" hidden="false" customHeight="false" outlineLevel="0" collapsed="false">
      <c r="A315" s="6" t="s">
        <v>1079</v>
      </c>
      <c r="B315" s="6" t="s">
        <v>446</v>
      </c>
      <c r="C315" s="6" t="s">
        <v>1078</v>
      </c>
      <c r="D315" s="30" t="n">
        <v>2</v>
      </c>
      <c r="E315" s="6" t="s">
        <v>596</v>
      </c>
    </row>
    <row r="316" customFormat="false" ht="15" hidden="false" customHeight="false" outlineLevel="0" collapsed="false">
      <c r="A316" s="6" t="s">
        <v>1079</v>
      </c>
      <c r="B316" s="6" t="s">
        <v>446</v>
      </c>
      <c r="C316" s="6" t="s">
        <v>1210</v>
      </c>
      <c r="D316" s="30" t="n">
        <v>2</v>
      </c>
      <c r="E316" s="6" t="s">
        <v>600</v>
      </c>
    </row>
    <row r="317" customFormat="false" ht="15" hidden="false" customHeight="false" outlineLevel="0" collapsed="false">
      <c r="A317" s="6" t="s">
        <v>1084</v>
      </c>
      <c r="B317" s="6" t="s">
        <v>446</v>
      </c>
      <c r="C317" s="6" t="s">
        <v>1083</v>
      </c>
      <c r="D317" s="30" t="n">
        <v>2</v>
      </c>
      <c r="E317" s="6" t="s">
        <v>596</v>
      </c>
    </row>
    <row r="318" customFormat="false" ht="15" hidden="false" customHeight="false" outlineLevel="0" collapsed="false">
      <c r="A318" s="6" t="s">
        <v>1084</v>
      </c>
      <c r="B318" s="6" t="s">
        <v>446</v>
      </c>
      <c r="C318" s="6" t="s">
        <v>1212</v>
      </c>
      <c r="D318" s="30" t="n">
        <v>2</v>
      </c>
      <c r="E318" s="6" t="s">
        <v>600</v>
      </c>
    </row>
    <row r="319" customFormat="false" ht="15" hidden="false" customHeight="false" outlineLevel="0" collapsed="false">
      <c r="A319" s="6" t="s">
        <v>1089</v>
      </c>
      <c r="B319" s="6" t="s">
        <v>446</v>
      </c>
      <c r="C319" s="6" t="s">
        <v>1088</v>
      </c>
      <c r="D319" s="30" t="n">
        <v>2</v>
      </c>
      <c r="E319" s="6" t="s">
        <v>600</v>
      </c>
    </row>
    <row r="320" customFormat="false" ht="15" hidden="false" customHeight="false" outlineLevel="0" collapsed="false">
      <c r="A320" s="6" t="s">
        <v>1089</v>
      </c>
      <c r="B320" s="6" t="s">
        <v>446</v>
      </c>
      <c r="C320" s="6" t="s">
        <v>1214</v>
      </c>
      <c r="D320" s="30" t="n">
        <v>2</v>
      </c>
      <c r="E320" s="6" t="s">
        <v>600</v>
      </c>
    </row>
    <row r="321" customFormat="false" ht="15" hidden="false" customHeight="false" outlineLevel="0" collapsed="false">
      <c r="A321" s="6" t="s">
        <v>1095</v>
      </c>
      <c r="B321" s="6" t="s">
        <v>446</v>
      </c>
      <c r="C321" s="6" t="s">
        <v>1094</v>
      </c>
      <c r="D321" s="30" t="n">
        <v>2</v>
      </c>
      <c r="E321" s="6" t="s">
        <v>600</v>
      </c>
    </row>
    <row r="322" customFormat="false" ht="15" hidden="false" customHeight="false" outlineLevel="0" collapsed="false">
      <c r="A322" s="6" t="s">
        <v>1095</v>
      </c>
      <c r="B322" s="6" t="s">
        <v>446</v>
      </c>
      <c r="C322" s="6" t="s">
        <v>1216</v>
      </c>
      <c r="D322" s="30" t="n">
        <v>2</v>
      </c>
      <c r="E322" s="6" t="s">
        <v>600</v>
      </c>
    </row>
    <row r="323" customFormat="false" ht="15" hidden="false" customHeight="false" outlineLevel="0" collapsed="false">
      <c r="A323" s="6" t="s">
        <v>1219</v>
      </c>
      <c r="B323" s="6" t="s">
        <v>446</v>
      </c>
      <c r="C323" s="6" t="s">
        <v>1218</v>
      </c>
      <c r="D323" s="30" t="n">
        <v>2</v>
      </c>
      <c r="E323" s="6" t="s">
        <v>596</v>
      </c>
    </row>
    <row r="324" customFormat="false" ht="15" hidden="false" customHeight="false" outlineLevel="0" collapsed="false">
      <c r="A324" s="6" t="s">
        <v>963</v>
      </c>
      <c r="B324" s="6" t="s">
        <v>441</v>
      </c>
      <c r="C324" s="6" t="s">
        <v>961</v>
      </c>
      <c r="D324" s="30" t="n">
        <v>2</v>
      </c>
      <c r="E324" s="6" t="s">
        <v>596</v>
      </c>
    </row>
    <row r="325" customFormat="false" ht="15" hidden="false" customHeight="false" outlineLevel="0" collapsed="false">
      <c r="A325" s="6" t="s">
        <v>963</v>
      </c>
      <c r="B325" s="6" t="s">
        <v>441</v>
      </c>
      <c r="C325" s="6" t="s">
        <v>1336</v>
      </c>
      <c r="D325" s="30" t="n">
        <v>2</v>
      </c>
      <c r="E325" s="6" t="s">
        <v>600</v>
      </c>
    </row>
    <row r="326" customFormat="false" ht="15" hidden="false" customHeight="false" outlineLevel="0" collapsed="false">
      <c r="A326" s="6" t="s">
        <v>972</v>
      </c>
      <c r="B326" s="6" t="s">
        <v>441</v>
      </c>
      <c r="C326" s="6" t="s">
        <v>970</v>
      </c>
      <c r="D326" s="30" t="n">
        <v>2</v>
      </c>
      <c r="E326" s="6" t="s">
        <v>596</v>
      </c>
    </row>
    <row r="327" customFormat="false" ht="15" hidden="false" customHeight="false" outlineLevel="0" collapsed="false">
      <c r="A327" s="6" t="s">
        <v>972</v>
      </c>
      <c r="B327" s="6" t="s">
        <v>441</v>
      </c>
      <c r="C327" s="6" t="s">
        <v>1337</v>
      </c>
      <c r="D327" s="30" t="n">
        <v>2</v>
      </c>
      <c r="E327" s="6" t="s">
        <v>600</v>
      </c>
    </row>
    <row r="328" customFormat="false" ht="15" hidden="false" customHeight="false" outlineLevel="0" collapsed="false">
      <c r="A328" s="6" t="s">
        <v>978</v>
      </c>
      <c r="B328" s="6" t="s">
        <v>441</v>
      </c>
      <c r="C328" s="6" t="s">
        <v>976</v>
      </c>
      <c r="D328" s="30" t="n">
        <v>2</v>
      </c>
      <c r="E328" s="6" t="s">
        <v>596</v>
      </c>
    </row>
    <row r="329" customFormat="false" ht="15" hidden="false" customHeight="false" outlineLevel="0" collapsed="false">
      <c r="A329" s="6" t="s">
        <v>978</v>
      </c>
      <c r="B329" s="6" t="s">
        <v>441</v>
      </c>
      <c r="C329" s="6" t="s">
        <v>1338</v>
      </c>
      <c r="D329" s="30" t="n">
        <v>2</v>
      </c>
      <c r="E329" s="6" t="s">
        <v>600</v>
      </c>
    </row>
    <row r="330" customFormat="false" ht="15" hidden="false" customHeight="false" outlineLevel="0" collapsed="false">
      <c r="A330" s="6" t="s">
        <v>984</v>
      </c>
      <c r="B330" s="6" t="s">
        <v>441</v>
      </c>
      <c r="C330" s="6" t="s">
        <v>982</v>
      </c>
      <c r="D330" s="30" t="n">
        <v>2</v>
      </c>
      <c r="E330" s="6" t="s">
        <v>596</v>
      </c>
    </row>
    <row r="331" customFormat="false" ht="15" hidden="false" customHeight="false" outlineLevel="0" collapsed="false">
      <c r="A331" s="6" t="s">
        <v>984</v>
      </c>
      <c r="B331" s="6" t="s">
        <v>441</v>
      </c>
      <c r="C331" s="6" t="s">
        <v>1343</v>
      </c>
      <c r="D331" s="30" t="n">
        <v>2</v>
      </c>
      <c r="E331" s="6" t="s">
        <v>596</v>
      </c>
    </row>
    <row r="332" customFormat="false" ht="15" hidden="false" customHeight="false" outlineLevel="0" collapsed="false">
      <c r="A332" s="6" t="s">
        <v>1002</v>
      </c>
      <c r="B332" s="6" t="s">
        <v>318</v>
      </c>
      <c r="C332" s="6" t="s">
        <v>999</v>
      </c>
      <c r="D332" s="30" t="n">
        <v>3</v>
      </c>
      <c r="E332" s="6" t="s">
        <v>596</v>
      </c>
    </row>
    <row r="333" customFormat="false" ht="15" hidden="false" customHeight="false" outlineLevel="0" collapsed="false">
      <c r="A333" s="6" t="s">
        <v>1002</v>
      </c>
      <c r="B333" s="6" t="s">
        <v>318</v>
      </c>
      <c r="C333" s="6" t="s">
        <v>1347</v>
      </c>
      <c r="D333" s="30" t="n">
        <v>3</v>
      </c>
      <c r="E333" s="6" t="s">
        <v>596</v>
      </c>
    </row>
    <row r="334" customFormat="false" ht="15" hidden="false" customHeight="false" outlineLevel="0" collapsed="false">
      <c r="A334" s="6" t="s">
        <v>1147</v>
      </c>
      <c r="B334" s="6" t="s">
        <v>318</v>
      </c>
      <c r="C334" s="6" t="s">
        <v>1146</v>
      </c>
      <c r="D334" s="30" t="n">
        <v>3</v>
      </c>
      <c r="E334" s="6" t="s">
        <v>596</v>
      </c>
    </row>
    <row r="335" customFormat="false" ht="15" hidden="false" customHeight="false" outlineLevel="0" collapsed="false">
      <c r="A335" s="6" t="s">
        <v>1147</v>
      </c>
      <c r="B335" s="6" t="s">
        <v>318</v>
      </c>
      <c r="C335" s="6" t="s">
        <v>1348</v>
      </c>
      <c r="D335" s="30" t="n">
        <v>3</v>
      </c>
      <c r="E335" s="6" t="s">
        <v>596</v>
      </c>
    </row>
    <row r="336" customFormat="false" ht="15" hidden="false" customHeight="false" outlineLevel="0" collapsed="false">
      <c r="A336" s="6" t="s">
        <v>996</v>
      </c>
      <c r="B336" s="6" t="s">
        <v>318</v>
      </c>
      <c r="C336" s="6" t="s">
        <v>995</v>
      </c>
      <c r="D336" s="30" t="n">
        <v>3</v>
      </c>
      <c r="E336" s="6" t="s">
        <v>596</v>
      </c>
    </row>
    <row r="337" customFormat="false" ht="15" hidden="false" customHeight="false" outlineLevel="0" collapsed="false">
      <c r="A337" s="6" t="s">
        <v>996</v>
      </c>
      <c r="B337" s="6" t="s">
        <v>318</v>
      </c>
      <c r="C337" s="6" t="s">
        <v>1006</v>
      </c>
      <c r="D337" s="30" t="n">
        <v>3</v>
      </c>
      <c r="E337" s="6" t="s">
        <v>596</v>
      </c>
    </row>
    <row r="338" customFormat="false" ht="15" hidden="false" customHeight="false" outlineLevel="0" collapsed="false">
      <c r="A338" s="6" t="s">
        <v>996</v>
      </c>
      <c r="B338" s="6" t="s">
        <v>318</v>
      </c>
      <c r="C338" s="6" t="s">
        <v>1339</v>
      </c>
      <c r="D338" s="30" t="n">
        <v>3</v>
      </c>
      <c r="E338" s="6" t="s">
        <v>600</v>
      </c>
    </row>
    <row r="339" customFormat="false" ht="15" hidden="false" customHeight="false" outlineLevel="0" collapsed="false">
      <c r="A339" s="6" t="s">
        <v>1152</v>
      </c>
      <c r="B339" s="6" t="s">
        <v>318</v>
      </c>
      <c r="C339" s="6" t="s">
        <v>1151</v>
      </c>
      <c r="D339" s="30" t="n">
        <v>3</v>
      </c>
      <c r="E339" s="6" t="s">
        <v>596</v>
      </c>
    </row>
    <row r="340" customFormat="false" ht="15" hidden="false" customHeight="false" outlineLevel="0" collapsed="false">
      <c r="A340" s="6" t="s">
        <v>1152</v>
      </c>
      <c r="B340" s="6" t="s">
        <v>318</v>
      </c>
      <c r="C340" s="6" t="s">
        <v>1349</v>
      </c>
      <c r="D340" s="30" t="n">
        <v>3</v>
      </c>
      <c r="E340" s="6" t="s">
        <v>596</v>
      </c>
    </row>
    <row r="341" customFormat="false" ht="15" hidden="false" customHeight="false" outlineLevel="0" collapsed="false">
      <c r="A341" s="6" t="s">
        <v>1051</v>
      </c>
      <c r="B341" s="6" t="s">
        <v>318</v>
      </c>
      <c r="C341" s="6" t="s">
        <v>1048</v>
      </c>
      <c r="D341" s="30" t="n">
        <v>3</v>
      </c>
      <c r="E341" s="6" t="s">
        <v>596</v>
      </c>
    </row>
    <row r="342" customFormat="false" ht="15" hidden="false" customHeight="false" outlineLevel="0" collapsed="false">
      <c r="A342" s="6" t="s">
        <v>1051</v>
      </c>
      <c r="B342" s="6" t="s">
        <v>318</v>
      </c>
      <c r="C342" s="6" t="s">
        <v>1121</v>
      </c>
      <c r="D342" s="30" t="n">
        <v>3</v>
      </c>
      <c r="E342" s="6" t="s">
        <v>600</v>
      </c>
    </row>
    <row r="343" customFormat="false" ht="15" hidden="false" customHeight="false" outlineLevel="0" collapsed="false">
      <c r="A343" s="6" t="s">
        <v>1051</v>
      </c>
      <c r="B343" s="6" t="s">
        <v>318</v>
      </c>
      <c r="C343" s="6" t="s">
        <v>1340</v>
      </c>
      <c r="D343" s="30" t="n">
        <v>3</v>
      </c>
      <c r="E343" s="6" t="s">
        <v>600</v>
      </c>
    </row>
    <row r="344" customFormat="false" ht="15" hidden="false" customHeight="false" outlineLevel="0" collapsed="false">
      <c r="A344" s="6" t="s">
        <v>1157</v>
      </c>
      <c r="B344" s="6" t="s">
        <v>318</v>
      </c>
      <c r="C344" s="6" t="s">
        <v>1156</v>
      </c>
      <c r="D344" s="30" t="n">
        <v>3</v>
      </c>
      <c r="E344" s="6" t="s">
        <v>600</v>
      </c>
    </row>
    <row r="345" customFormat="false" ht="15" hidden="false" customHeight="false" outlineLevel="0" collapsed="false">
      <c r="A345" s="6" t="s">
        <v>1157</v>
      </c>
      <c r="B345" s="6" t="s">
        <v>318</v>
      </c>
      <c r="C345" s="6" t="s">
        <v>1350</v>
      </c>
      <c r="D345" s="30" t="n">
        <v>3</v>
      </c>
      <c r="E345" s="6" t="s">
        <v>596</v>
      </c>
    </row>
    <row r="346" customFormat="false" ht="15" hidden="false" customHeight="false" outlineLevel="0" collapsed="false">
      <c r="A346" s="6" t="s">
        <v>1057</v>
      </c>
      <c r="B346" s="6" t="s">
        <v>318</v>
      </c>
      <c r="C346" s="6" t="s">
        <v>1054</v>
      </c>
      <c r="D346" s="30" t="n">
        <v>3</v>
      </c>
      <c r="E346" s="6" t="s">
        <v>596</v>
      </c>
    </row>
    <row r="347" customFormat="false" ht="15" hidden="false" customHeight="false" outlineLevel="0" collapsed="false">
      <c r="A347" s="6" t="s">
        <v>1057</v>
      </c>
      <c r="B347" s="6" t="s">
        <v>318</v>
      </c>
      <c r="C347" s="6" t="s">
        <v>1127</v>
      </c>
      <c r="D347" s="30" t="n">
        <v>3</v>
      </c>
      <c r="E347" s="6" t="s">
        <v>600</v>
      </c>
    </row>
    <row r="348" customFormat="false" ht="15" hidden="false" customHeight="false" outlineLevel="0" collapsed="false">
      <c r="A348" s="6" t="s">
        <v>1057</v>
      </c>
      <c r="B348" s="6" t="s">
        <v>318</v>
      </c>
      <c r="C348" s="6" t="s">
        <v>1341</v>
      </c>
      <c r="D348" s="30" t="n">
        <v>3</v>
      </c>
      <c r="E348" s="6" t="s">
        <v>600</v>
      </c>
    </row>
    <row r="349" customFormat="false" ht="15" hidden="false" customHeight="false" outlineLevel="0" collapsed="false">
      <c r="A349" s="6" t="s">
        <v>1163</v>
      </c>
      <c r="B349" s="6" t="s">
        <v>318</v>
      </c>
      <c r="C349" s="6" t="s">
        <v>1161</v>
      </c>
      <c r="D349" s="30" t="n">
        <v>3</v>
      </c>
      <c r="E349" s="6" t="s">
        <v>600</v>
      </c>
    </row>
    <row r="350" customFormat="false" ht="15" hidden="false" customHeight="false" outlineLevel="0" collapsed="false">
      <c r="A350" s="6" t="s">
        <v>1163</v>
      </c>
      <c r="B350" s="6" t="s">
        <v>318</v>
      </c>
      <c r="C350" s="6" t="s">
        <v>1345</v>
      </c>
      <c r="D350" s="30" t="n">
        <v>3</v>
      </c>
      <c r="E350" s="6" t="s">
        <v>596</v>
      </c>
    </row>
    <row r="351" customFormat="false" ht="15" hidden="false" customHeight="false" outlineLevel="0" collapsed="false">
      <c r="A351" s="6" t="s">
        <v>964</v>
      </c>
      <c r="B351" s="6" t="s">
        <v>318</v>
      </c>
      <c r="C351" s="6" t="s">
        <v>961</v>
      </c>
      <c r="D351" s="30" t="n">
        <v>3</v>
      </c>
      <c r="E351" s="6" t="s">
        <v>596</v>
      </c>
    </row>
    <row r="352" customFormat="false" ht="15" hidden="false" customHeight="false" outlineLevel="0" collapsed="false">
      <c r="A352" s="6" t="s">
        <v>964</v>
      </c>
      <c r="B352" s="6" t="s">
        <v>318</v>
      </c>
      <c r="C352" s="6" t="s">
        <v>1346</v>
      </c>
      <c r="D352" s="30" t="n">
        <v>3</v>
      </c>
      <c r="E352" s="6" t="s">
        <v>596</v>
      </c>
    </row>
    <row r="353" customFormat="false" ht="15" hidden="false" customHeight="false" outlineLevel="0" collapsed="false">
      <c r="A353" s="6" t="s">
        <v>979</v>
      </c>
      <c r="B353" s="6" t="s">
        <v>276</v>
      </c>
      <c r="C353" s="6" t="s">
        <v>976</v>
      </c>
      <c r="D353" s="30" t="n">
        <v>3</v>
      </c>
      <c r="E353" s="6" t="s">
        <v>596</v>
      </c>
    </row>
    <row r="354" customFormat="false" ht="15" hidden="false" customHeight="false" outlineLevel="0" collapsed="false">
      <c r="A354" s="6" t="s">
        <v>979</v>
      </c>
      <c r="B354" s="6" t="s">
        <v>276</v>
      </c>
      <c r="C354" s="6" t="s">
        <v>1232</v>
      </c>
      <c r="D354" s="30" t="n">
        <v>3</v>
      </c>
      <c r="E354" s="6" t="s">
        <v>596</v>
      </c>
    </row>
    <row r="355" customFormat="false" ht="15" hidden="false" customHeight="false" outlineLevel="0" collapsed="false">
      <c r="A355" s="6" t="s">
        <v>985</v>
      </c>
      <c r="B355" s="6" t="s">
        <v>276</v>
      </c>
      <c r="C355" s="6" t="s">
        <v>982</v>
      </c>
      <c r="D355" s="30" t="n">
        <v>3</v>
      </c>
      <c r="E355" s="6" t="s">
        <v>596</v>
      </c>
    </row>
    <row r="356" customFormat="false" ht="15" hidden="false" customHeight="false" outlineLevel="0" collapsed="false">
      <c r="A356" s="6" t="s">
        <v>985</v>
      </c>
      <c r="B356" s="6" t="s">
        <v>276</v>
      </c>
      <c r="C356" s="6" t="s">
        <v>1235</v>
      </c>
      <c r="D356" s="30" t="n">
        <v>3</v>
      </c>
      <c r="E356" s="6" t="s">
        <v>596</v>
      </c>
    </row>
    <row r="357" customFormat="false" ht="15" hidden="false" customHeight="false" outlineLevel="0" collapsed="false">
      <c r="A357" s="6" t="s">
        <v>1090</v>
      </c>
      <c r="B357" s="6" t="s">
        <v>272</v>
      </c>
      <c r="C357" s="6" t="s">
        <v>1088</v>
      </c>
      <c r="D357" s="30" t="n">
        <v>3</v>
      </c>
      <c r="E357" s="6" t="s">
        <v>600</v>
      </c>
    </row>
    <row r="358" customFormat="false" ht="15" hidden="false" customHeight="false" outlineLevel="0" collapsed="false">
      <c r="A358" s="6" t="s">
        <v>1090</v>
      </c>
      <c r="B358" s="6" t="s">
        <v>272</v>
      </c>
      <c r="C358" s="6" t="s">
        <v>1268</v>
      </c>
      <c r="D358" s="30" t="n">
        <v>3</v>
      </c>
      <c r="E358" s="6" t="s">
        <v>596</v>
      </c>
    </row>
    <row r="359" customFormat="false" ht="15" hidden="false" customHeight="false" outlineLevel="0" collapsed="false">
      <c r="A359" s="6" t="s">
        <v>1096</v>
      </c>
      <c r="B359" s="6" t="s">
        <v>265</v>
      </c>
      <c r="C359" s="6" t="s">
        <v>1094</v>
      </c>
      <c r="D359" s="30" t="n">
        <v>3</v>
      </c>
      <c r="E359" s="6" t="s">
        <v>600</v>
      </c>
    </row>
    <row r="360" customFormat="false" ht="15" hidden="false" customHeight="false" outlineLevel="0" collapsed="false">
      <c r="A360" s="6" t="s">
        <v>1096</v>
      </c>
      <c r="B360" s="6" t="s">
        <v>265</v>
      </c>
      <c r="C360" s="6" t="s">
        <v>1270</v>
      </c>
      <c r="D360" s="30" t="n">
        <v>3</v>
      </c>
      <c r="E360" s="6" t="s">
        <v>596</v>
      </c>
    </row>
    <row r="361" customFormat="false" ht="15" hidden="false" customHeight="false" outlineLevel="0" collapsed="false">
      <c r="A361" s="6" t="s">
        <v>1125</v>
      </c>
      <c r="B361" s="6" t="s">
        <v>428</v>
      </c>
      <c r="C361" s="6" t="s">
        <v>1121</v>
      </c>
      <c r="D361" s="30" t="n">
        <v>9</v>
      </c>
      <c r="E361" s="6" t="s">
        <v>600</v>
      </c>
    </row>
    <row r="362" customFormat="false" ht="15" hidden="false" customHeight="false" outlineLevel="0" collapsed="false">
      <c r="A362" s="6" t="s">
        <v>1125</v>
      </c>
      <c r="B362" s="6" t="s">
        <v>428</v>
      </c>
      <c r="C362" s="6" t="s">
        <v>1332</v>
      </c>
      <c r="D362" s="30" t="n">
        <v>9</v>
      </c>
      <c r="E362" s="6" t="s">
        <v>596</v>
      </c>
    </row>
    <row r="363" customFormat="false" ht="15" hidden="false" customHeight="false" outlineLevel="0" collapsed="false">
      <c r="A363" s="6" t="s">
        <v>1130</v>
      </c>
      <c r="B363" s="6" t="s">
        <v>428</v>
      </c>
      <c r="C363" s="6" t="s">
        <v>1127</v>
      </c>
      <c r="D363" s="30" t="n">
        <v>9</v>
      </c>
      <c r="E363" s="6" t="s">
        <v>600</v>
      </c>
    </row>
    <row r="364" customFormat="false" ht="15" hidden="false" customHeight="false" outlineLevel="0" collapsed="false">
      <c r="A364" s="6" t="s">
        <v>1130</v>
      </c>
      <c r="B364" s="6" t="s">
        <v>428</v>
      </c>
      <c r="C364" s="6" t="s">
        <v>1335</v>
      </c>
      <c r="D364" s="30" t="n">
        <v>9</v>
      </c>
      <c r="E364" s="6" t="s">
        <v>600</v>
      </c>
    </row>
    <row r="365" customFormat="false" ht="15" hidden="false" customHeight="false" outlineLevel="0" collapsed="false">
      <c r="A365" s="6" t="s">
        <v>1004</v>
      </c>
      <c r="B365" s="6" t="s">
        <v>424</v>
      </c>
      <c r="C365" s="6" t="s">
        <v>999</v>
      </c>
      <c r="D365" s="30" t="n">
        <v>9</v>
      </c>
      <c r="E365" s="6" t="s">
        <v>596</v>
      </c>
    </row>
    <row r="366" customFormat="false" ht="15" hidden="false" customHeight="false" outlineLevel="0" collapsed="false">
      <c r="A366" s="6" t="s">
        <v>1004</v>
      </c>
      <c r="B366" s="6" t="s">
        <v>424</v>
      </c>
      <c r="C366" s="6" t="s">
        <v>1272</v>
      </c>
      <c r="D366" s="30" t="n">
        <v>9</v>
      </c>
      <c r="E366" s="6" t="s">
        <v>600</v>
      </c>
    </row>
    <row r="367" customFormat="false" ht="15" hidden="false" customHeight="false" outlineLevel="0" collapsed="false">
      <c r="A367" s="6" t="s">
        <v>1010</v>
      </c>
      <c r="B367" s="6" t="s">
        <v>420</v>
      </c>
      <c r="C367" s="6" t="s">
        <v>1006</v>
      </c>
      <c r="D367" s="30" t="n">
        <v>9</v>
      </c>
      <c r="E367" s="6" t="s">
        <v>596</v>
      </c>
    </row>
    <row r="368" customFormat="false" ht="15" hidden="false" customHeight="false" outlineLevel="0" collapsed="false">
      <c r="A368" s="6" t="s">
        <v>1010</v>
      </c>
      <c r="B368" s="6" t="s">
        <v>420</v>
      </c>
      <c r="C368" s="6" t="s">
        <v>1274</v>
      </c>
      <c r="D368" s="30" t="n">
        <v>9</v>
      </c>
      <c r="E368" s="6" t="s">
        <v>600</v>
      </c>
    </row>
    <row r="369" customFormat="false" ht="15" hidden="false" customHeight="false" outlineLevel="0" collapsed="false">
      <c r="A369" s="6" t="s">
        <v>1224</v>
      </c>
      <c r="B369" s="6" t="s">
        <v>1224</v>
      </c>
      <c r="C369" s="6" t="s">
        <v>1223</v>
      </c>
      <c r="D369" s="30" t="n">
        <v>0</v>
      </c>
      <c r="E369" s="6" t="s">
        <v>596</v>
      </c>
    </row>
    <row r="370" customFormat="false" ht="15" hidden="false" customHeight="false" outlineLevel="0" collapsed="false">
      <c r="A370" s="6" t="s">
        <v>1227</v>
      </c>
      <c r="B370" s="6" t="s">
        <v>1227</v>
      </c>
      <c r="C370" s="6" t="s">
        <v>1226</v>
      </c>
      <c r="D370" s="30" t="n">
        <v>0</v>
      </c>
      <c r="E370" s="6" t="s">
        <v>596</v>
      </c>
    </row>
    <row r="371" customFormat="false" ht="15" hidden="false" customHeight="false" outlineLevel="0" collapsed="false">
      <c r="A371" s="6" t="s">
        <v>1230</v>
      </c>
      <c r="B371" s="6" t="s">
        <v>1230</v>
      </c>
      <c r="C371" s="6" t="s">
        <v>1229</v>
      </c>
      <c r="D371" s="30" t="n">
        <v>0</v>
      </c>
      <c r="E371" s="6" t="s">
        <v>596</v>
      </c>
    </row>
    <row r="372" customFormat="false" ht="15" hidden="false" customHeight="false" outlineLevel="0" collapsed="false">
      <c r="A372" s="6" t="s">
        <v>1233</v>
      </c>
      <c r="B372" s="6" t="s">
        <v>1233</v>
      </c>
      <c r="C372" s="6" t="s">
        <v>1232</v>
      </c>
      <c r="D372" s="30" t="n">
        <v>0</v>
      </c>
      <c r="E372" s="6" t="s">
        <v>596</v>
      </c>
    </row>
    <row r="373" customFormat="false" ht="15" hidden="false" customHeight="false" outlineLevel="0" collapsed="false">
      <c r="A373" s="6" t="s">
        <v>1236</v>
      </c>
      <c r="B373" s="6" t="s">
        <v>1236</v>
      </c>
      <c r="C373" s="6" t="s">
        <v>1235</v>
      </c>
      <c r="D373" s="30" t="n">
        <v>0</v>
      </c>
      <c r="E373" s="6" t="s">
        <v>596</v>
      </c>
    </row>
    <row r="374" customFormat="false" ht="15" hidden="false" customHeight="false" outlineLevel="0" collapsed="false">
      <c r="A374" s="6" t="s">
        <v>1406</v>
      </c>
      <c r="B374" s="6" t="s">
        <v>1406</v>
      </c>
      <c r="C374" s="6" t="s">
        <v>1062</v>
      </c>
      <c r="D374" s="30" t="n">
        <v>0</v>
      </c>
      <c r="E374" s="6" t="s">
        <v>596</v>
      </c>
    </row>
    <row r="375" customFormat="false" ht="15" hidden="false" customHeight="false" outlineLevel="0" collapsed="false">
      <c r="A375" s="6" t="s">
        <v>974</v>
      </c>
      <c r="B375" s="6" t="s">
        <v>369</v>
      </c>
      <c r="C375" s="6" t="s">
        <v>970</v>
      </c>
      <c r="D375" s="30" t="n">
        <v>8</v>
      </c>
      <c r="E375" s="6" t="s">
        <v>596</v>
      </c>
    </row>
    <row r="376" customFormat="false" ht="15" hidden="false" customHeight="false" outlineLevel="0" collapsed="false">
      <c r="A376" s="6" t="s">
        <v>974</v>
      </c>
      <c r="B376" s="6" t="s">
        <v>369</v>
      </c>
      <c r="C376" s="6" t="s">
        <v>1171</v>
      </c>
      <c r="D376" s="30" t="n">
        <v>8</v>
      </c>
      <c r="E376" s="6" t="s">
        <v>600</v>
      </c>
    </row>
    <row r="377" customFormat="false" ht="15" hidden="false" customHeight="false" outlineLevel="0" collapsed="false">
      <c r="A377" s="6" t="s">
        <v>966</v>
      </c>
      <c r="B377" s="6" t="s">
        <v>369</v>
      </c>
      <c r="C377" s="6" t="s">
        <v>961</v>
      </c>
      <c r="D377" s="30" t="n">
        <v>8</v>
      </c>
      <c r="E377" s="6" t="s">
        <v>596</v>
      </c>
    </row>
    <row r="378" customFormat="false" ht="15" hidden="false" customHeight="false" outlineLevel="0" collapsed="false">
      <c r="A378" s="6" t="s">
        <v>966</v>
      </c>
      <c r="B378" s="6" t="s">
        <v>369</v>
      </c>
      <c r="C378" s="6" t="s">
        <v>1168</v>
      </c>
      <c r="D378" s="30" t="n">
        <v>8</v>
      </c>
      <c r="E378" s="6" t="s">
        <v>600</v>
      </c>
    </row>
    <row r="379" customFormat="false" ht="15" hidden="false" customHeight="false" outlineLevel="0" collapsed="false">
      <c r="A379" s="6" t="s">
        <v>1189</v>
      </c>
      <c r="B379" s="6" t="s">
        <v>364</v>
      </c>
      <c r="C379" s="6" t="s">
        <v>1187</v>
      </c>
      <c r="D379" s="30" t="n">
        <v>8</v>
      </c>
      <c r="E379" s="6" t="s">
        <v>596</v>
      </c>
    </row>
    <row r="380" customFormat="false" ht="15" hidden="false" customHeight="false" outlineLevel="0" collapsed="false">
      <c r="A380" s="6" t="s">
        <v>1175</v>
      </c>
      <c r="B380" s="6" t="s">
        <v>364</v>
      </c>
      <c r="C380" s="6" t="s">
        <v>1174</v>
      </c>
      <c r="D380" s="30" t="n">
        <v>8</v>
      </c>
      <c r="E380" s="6" t="s">
        <v>600</v>
      </c>
    </row>
    <row r="381" customFormat="false" ht="15" hidden="false" customHeight="false" outlineLevel="0" collapsed="false">
      <c r="A381" s="6" t="s">
        <v>1316</v>
      </c>
      <c r="B381" s="6" t="s">
        <v>1407</v>
      </c>
      <c r="C381" s="6" t="s">
        <v>1315</v>
      </c>
      <c r="D381" s="30" t="n">
        <v>8</v>
      </c>
      <c r="E381" s="6" t="s">
        <v>600</v>
      </c>
    </row>
    <row r="382" customFormat="false" ht="15" hidden="false" customHeight="false" outlineLevel="0" collapsed="false">
      <c r="A382" s="6" t="s">
        <v>1016</v>
      </c>
      <c r="B382" s="6" t="s">
        <v>313</v>
      </c>
      <c r="C382" s="6" t="s">
        <v>1012</v>
      </c>
      <c r="D382" s="30" t="n">
        <v>7</v>
      </c>
      <c r="E382" s="6" t="s">
        <v>600</v>
      </c>
    </row>
    <row r="383" customFormat="false" ht="15" hidden="false" customHeight="false" outlineLevel="0" collapsed="false">
      <c r="A383" s="6" t="s">
        <v>1030</v>
      </c>
      <c r="B383" s="6" t="s">
        <v>313</v>
      </c>
      <c r="C383" s="6" t="s">
        <v>1028</v>
      </c>
      <c r="D383" s="30" t="n">
        <v>7</v>
      </c>
      <c r="E383" s="6" t="s">
        <v>600</v>
      </c>
    </row>
    <row r="384" customFormat="false" ht="15" hidden="false" customHeight="false" outlineLevel="0" collapsed="false">
      <c r="A384" s="6" t="s">
        <v>1035</v>
      </c>
      <c r="B384" s="6" t="s">
        <v>313</v>
      </c>
      <c r="C384" s="6" t="s">
        <v>1033</v>
      </c>
      <c r="D384" s="30" t="n">
        <v>7</v>
      </c>
      <c r="E384" s="6" t="s">
        <v>600</v>
      </c>
    </row>
    <row r="385" customFormat="false" ht="15" hidden="false" customHeight="false" outlineLevel="0" collapsed="false">
      <c r="A385" s="6" t="s">
        <v>1025</v>
      </c>
      <c r="B385" s="6" t="s">
        <v>313</v>
      </c>
      <c r="C385" s="6" t="s">
        <v>1023</v>
      </c>
      <c r="D385" s="30" t="n">
        <v>7</v>
      </c>
      <c r="E385" s="6" t="s">
        <v>600</v>
      </c>
    </row>
    <row r="386" customFormat="false" ht="15" hidden="false" customHeight="false" outlineLevel="0" collapsed="false">
      <c r="A386" s="6" t="s">
        <v>1025</v>
      </c>
      <c r="B386" s="6" t="s">
        <v>313</v>
      </c>
      <c r="C386" s="6" t="s">
        <v>1083</v>
      </c>
      <c r="D386" s="30" t="n">
        <v>7</v>
      </c>
      <c r="E386" s="6" t="s">
        <v>596</v>
      </c>
    </row>
    <row r="387" customFormat="false" ht="15" hidden="false" customHeight="false" outlineLevel="0" collapsed="false">
      <c r="A387" s="6" t="s">
        <v>1021</v>
      </c>
      <c r="B387" s="6" t="s">
        <v>313</v>
      </c>
      <c r="C387" s="6" t="s">
        <v>1018</v>
      </c>
      <c r="D387" s="30" t="n">
        <v>7</v>
      </c>
      <c r="E387" s="6" t="s">
        <v>600</v>
      </c>
    </row>
    <row r="388" customFormat="false" ht="15" hidden="false" customHeight="false" outlineLevel="0" collapsed="false">
      <c r="A388" s="6" t="s">
        <v>1021</v>
      </c>
      <c r="B388" s="6" t="s">
        <v>313</v>
      </c>
      <c r="C388" s="6" t="s">
        <v>1078</v>
      </c>
      <c r="D388" s="30" t="n">
        <v>7</v>
      </c>
      <c r="E388" s="6" t="s">
        <v>596</v>
      </c>
    </row>
    <row r="389" customFormat="false" ht="15" hidden="false" customHeight="false" outlineLevel="0" collapsed="false">
      <c r="A389" s="6" t="s">
        <v>992</v>
      </c>
      <c r="B389" s="6" t="s">
        <v>379</v>
      </c>
      <c r="C389" s="6" t="s">
        <v>989</v>
      </c>
      <c r="D389" s="30" t="n">
        <v>7</v>
      </c>
      <c r="E389" s="6" t="s">
        <v>596</v>
      </c>
    </row>
    <row r="390" customFormat="false" ht="15" hidden="false" customHeight="false" outlineLevel="0" collapsed="false">
      <c r="A390" s="6" t="s">
        <v>992</v>
      </c>
      <c r="B390" s="6" t="s">
        <v>379</v>
      </c>
      <c r="C390" s="6" t="s">
        <v>1200</v>
      </c>
      <c r="D390" s="30" t="n">
        <v>7</v>
      </c>
      <c r="E390" s="6" t="s">
        <v>596</v>
      </c>
    </row>
    <row r="391" customFormat="false" ht="15" hidden="false" customHeight="false" outlineLevel="0" collapsed="false">
      <c r="A391" s="6" t="s">
        <v>965</v>
      </c>
      <c r="B391" s="6" t="s">
        <v>379</v>
      </c>
      <c r="C391" s="6" t="s">
        <v>961</v>
      </c>
      <c r="D391" s="30" t="n">
        <v>7</v>
      </c>
      <c r="E391" s="6" t="s">
        <v>596</v>
      </c>
    </row>
    <row r="392" customFormat="false" ht="15" hidden="false" customHeight="false" outlineLevel="0" collapsed="false">
      <c r="A392" s="6" t="s">
        <v>965</v>
      </c>
      <c r="B392" s="6" t="s">
        <v>379</v>
      </c>
      <c r="C392" s="6" t="s">
        <v>1192</v>
      </c>
      <c r="D392" s="30" t="n">
        <v>7</v>
      </c>
      <c r="E392" s="6" t="s">
        <v>596</v>
      </c>
    </row>
    <row r="393" customFormat="false" ht="15" hidden="false" customHeight="false" outlineLevel="0" collapsed="false">
      <c r="A393" s="6" t="s">
        <v>973</v>
      </c>
      <c r="B393" s="6" t="s">
        <v>379</v>
      </c>
      <c r="C393" s="6" t="s">
        <v>970</v>
      </c>
      <c r="D393" s="30" t="n">
        <v>7</v>
      </c>
      <c r="E393" s="6" t="s">
        <v>596</v>
      </c>
    </row>
    <row r="394" customFormat="false" ht="15" hidden="false" customHeight="false" outlineLevel="0" collapsed="false">
      <c r="A394" s="6" t="s">
        <v>973</v>
      </c>
      <c r="B394" s="6" t="s">
        <v>379</v>
      </c>
      <c r="C394" s="6" t="s">
        <v>1194</v>
      </c>
      <c r="D394" s="30" t="n">
        <v>7</v>
      </c>
      <c r="E394" s="6" t="s">
        <v>596</v>
      </c>
    </row>
    <row r="395" customFormat="false" ht="15" hidden="false" customHeight="false" outlineLevel="0" collapsed="false">
      <c r="A395" s="6" t="s">
        <v>986</v>
      </c>
      <c r="B395" s="6" t="s">
        <v>379</v>
      </c>
      <c r="C395" s="6" t="s">
        <v>982</v>
      </c>
      <c r="D395" s="30" t="n">
        <v>7</v>
      </c>
      <c r="E395" s="6" t="s">
        <v>596</v>
      </c>
    </row>
    <row r="396" customFormat="false" ht="15" hidden="false" customHeight="false" outlineLevel="0" collapsed="false">
      <c r="A396" s="6" t="s">
        <v>986</v>
      </c>
      <c r="B396" s="6" t="s">
        <v>379</v>
      </c>
      <c r="C396" s="6" t="s">
        <v>1198</v>
      </c>
      <c r="D396" s="30" t="n">
        <v>7</v>
      </c>
      <c r="E396" s="6" t="s">
        <v>596</v>
      </c>
    </row>
    <row r="397" customFormat="false" ht="15" hidden="false" customHeight="false" outlineLevel="0" collapsed="false">
      <c r="A397" s="6" t="s">
        <v>980</v>
      </c>
      <c r="B397" s="6" t="s">
        <v>379</v>
      </c>
      <c r="C397" s="6" t="s">
        <v>976</v>
      </c>
      <c r="D397" s="30" t="n">
        <v>7</v>
      </c>
      <c r="E397" s="6" t="s">
        <v>596</v>
      </c>
    </row>
    <row r="398" customFormat="false" ht="15" hidden="false" customHeight="false" outlineLevel="0" collapsed="false">
      <c r="A398" s="6" t="s">
        <v>980</v>
      </c>
      <c r="B398" s="6" t="s">
        <v>379</v>
      </c>
      <c r="C398" s="6" t="s">
        <v>1196</v>
      </c>
      <c r="D398" s="30" t="n">
        <v>7</v>
      </c>
      <c r="E398" s="6" t="s">
        <v>596</v>
      </c>
    </row>
    <row r="399" customFormat="false" ht="15" hidden="false" customHeight="false" outlineLevel="0" collapsed="false">
      <c r="A399" s="6" t="s">
        <v>1113</v>
      </c>
      <c r="B399" s="6" t="s">
        <v>374</v>
      </c>
      <c r="C399" s="6" t="s">
        <v>1111</v>
      </c>
      <c r="D399" s="30" t="n">
        <v>7</v>
      </c>
      <c r="E399" s="6" t="s">
        <v>600</v>
      </c>
    </row>
    <row r="400" customFormat="false" ht="15" hidden="false" customHeight="false" outlineLevel="0" collapsed="false">
      <c r="A400" s="6" t="s">
        <v>1113</v>
      </c>
      <c r="B400" s="6" t="s">
        <v>374</v>
      </c>
      <c r="C400" s="6" t="s">
        <v>1174</v>
      </c>
      <c r="D400" s="30" t="n">
        <v>7</v>
      </c>
      <c r="E400" s="6" t="s">
        <v>600</v>
      </c>
    </row>
    <row r="401" customFormat="false" ht="15" hidden="false" customHeight="false" outlineLevel="0" collapsed="false">
      <c r="A401" s="6" t="s">
        <v>1113</v>
      </c>
      <c r="B401" s="6" t="s">
        <v>374</v>
      </c>
      <c r="C401" s="6" t="s">
        <v>1206</v>
      </c>
      <c r="D401" s="30" t="n">
        <v>7</v>
      </c>
      <c r="E401" s="6" t="s">
        <v>600</v>
      </c>
    </row>
    <row r="402" customFormat="false" ht="15" hidden="false" customHeight="false" outlineLevel="0" collapsed="false">
      <c r="A402" s="6" t="s">
        <v>1118</v>
      </c>
      <c r="B402" s="6" t="s">
        <v>374</v>
      </c>
      <c r="C402" s="6" t="s">
        <v>1117</v>
      </c>
      <c r="D402" s="30" t="n">
        <v>7</v>
      </c>
      <c r="E402" s="6" t="s">
        <v>600</v>
      </c>
    </row>
    <row r="403" customFormat="false" ht="15" hidden="false" customHeight="false" outlineLevel="0" collapsed="false">
      <c r="A403" s="6" t="s">
        <v>1118</v>
      </c>
      <c r="B403" s="6" t="s">
        <v>374</v>
      </c>
      <c r="C403" s="6" t="s">
        <v>1208</v>
      </c>
      <c r="D403" s="30" t="n">
        <v>7</v>
      </c>
      <c r="E403" s="6" t="s">
        <v>600</v>
      </c>
    </row>
    <row r="404" customFormat="false" ht="15" hidden="false" customHeight="false" outlineLevel="0" collapsed="false">
      <c r="A404" s="6" t="s">
        <v>1124</v>
      </c>
      <c r="B404" s="6" t="s">
        <v>374</v>
      </c>
      <c r="C404" s="6" t="s">
        <v>1121</v>
      </c>
      <c r="D404" s="30" t="n">
        <v>7</v>
      </c>
      <c r="E404" s="6" t="s">
        <v>600</v>
      </c>
    </row>
    <row r="405" customFormat="false" ht="15" hidden="false" customHeight="false" outlineLevel="0" collapsed="false">
      <c r="A405" s="6" t="s">
        <v>1124</v>
      </c>
      <c r="B405" s="6" t="s">
        <v>374</v>
      </c>
      <c r="C405" s="6" t="s">
        <v>1210</v>
      </c>
      <c r="D405" s="30" t="n">
        <v>7</v>
      </c>
      <c r="E405" s="6" t="s">
        <v>600</v>
      </c>
    </row>
    <row r="406" customFormat="false" ht="15" hidden="false" customHeight="false" outlineLevel="0" collapsed="false">
      <c r="A406" s="6" t="s">
        <v>1108</v>
      </c>
      <c r="B406" s="6" t="s">
        <v>374</v>
      </c>
      <c r="C406" s="6" t="s">
        <v>1106</v>
      </c>
      <c r="D406" s="30" t="n">
        <v>7</v>
      </c>
      <c r="E406" s="6" t="s">
        <v>600</v>
      </c>
    </row>
    <row r="407" customFormat="false" ht="15" hidden="false" customHeight="false" outlineLevel="0" collapsed="false">
      <c r="A407" s="6" t="s">
        <v>1108</v>
      </c>
      <c r="B407" s="6" t="s">
        <v>374</v>
      </c>
      <c r="C407" s="6" t="s">
        <v>1171</v>
      </c>
      <c r="D407" s="30" t="n">
        <v>7</v>
      </c>
      <c r="E407" s="6" t="s">
        <v>600</v>
      </c>
    </row>
    <row r="408" customFormat="false" ht="15" hidden="false" customHeight="false" outlineLevel="0" collapsed="false">
      <c r="A408" s="6" t="s">
        <v>1108</v>
      </c>
      <c r="B408" s="6" t="s">
        <v>374</v>
      </c>
      <c r="C408" s="6" t="s">
        <v>1204</v>
      </c>
      <c r="D408" s="30" t="n">
        <v>7</v>
      </c>
      <c r="E408" s="6" t="s">
        <v>600</v>
      </c>
    </row>
    <row r="409" customFormat="false" ht="15" hidden="false" customHeight="false" outlineLevel="0" collapsed="false">
      <c r="A409" s="6" t="s">
        <v>1103</v>
      </c>
      <c r="B409" s="6" t="s">
        <v>374</v>
      </c>
      <c r="C409" s="6" t="s">
        <v>1100</v>
      </c>
      <c r="D409" s="30" t="n">
        <v>7</v>
      </c>
      <c r="E409" s="6" t="s">
        <v>600</v>
      </c>
    </row>
    <row r="410" customFormat="false" ht="15" hidden="false" customHeight="false" outlineLevel="0" collapsed="false">
      <c r="A410" s="6" t="s">
        <v>1103</v>
      </c>
      <c r="B410" s="6" t="s">
        <v>374</v>
      </c>
      <c r="C410" s="6" t="s">
        <v>1168</v>
      </c>
      <c r="D410" s="30" t="n">
        <v>7</v>
      </c>
      <c r="E410" s="6" t="s">
        <v>600</v>
      </c>
    </row>
    <row r="411" customFormat="false" ht="15" hidden="false" customHeight="false" outlineLevel="0" collapsed="false">
      <c r="A411" s="6" t="s">
        <v>1103</v>
      </c>
      <c r="B411" s="6" t="s">
        <v>374</v>
      </c>
      <c r="C411" s="6" t="s">
        <v>1202</v>
      </c>
      <c r="D411" s="30" t="n">
        <v>7</v>
      </c>
      <c r="E411" s="6" t="s">
        <v>600</v>
      </c>
    </row>
    <row r="412" customFormat="false" ht="15" hidden="false" customHeight="false" outlineLevel="0" collapsed="false">
      <c r="A412" s="6" t="s">
        <v>1158</v>
      </c>
      <c r="B412" s="6" t="s">
        <v>307</v>
      </c>
      <c r="C412" s="6" t="s">
        <v>1156</v>
      </c>
      <c r="D412" s="30" t="n">
        <v>8</v>
      </c>
      <c r="E412" s="6" t="s">
        <v>600</v>
      </c>
    </row>
    <row r="413" customFormat="false" ht="15" hidden="false" customHeight="false" outlineLevel="0" collapsed="false">
      <c r="A413" s="6" t="s">
        <v>1158</v>
      </c>
      <c r="B413" s="6" t="s">
        <v>307</v>
      </c>
      <c r="C413" s="6" t="s">
        <v>1302</v>
      </c>
      <c r="D413" s="30" t="n">
        <v>8</v>
      </c>
      <c r="E413" s="6" t="s">
        <v>596</v>
      </c>
    </row>
    <row r="414" customFormat="false" ht="15" hidden="false" customHeight="false" outlineLevel="0" collapsed="false">
      <c r="A414" s="6" t="s">
        <v>1321</v>
      </c>
      <c r="B414" s="6" t="s">
        <v>307</v>
      </c>
      <c r="C414" s="6" t="s">
        <v>1320</v>
      </c>
      <c r="D414" s="30" t="n">
        <v>8</v>
      </c>
      <c r="E414" s="6" t="s">
        <v>600</v>
      </c>
    </row>
    <row r="415" customFormat="false" ht="15" hidden="false" customHeight="false" outlineLevel="0" collapsed="false">
      <c r="A415" s="6" t="s">
        <v>1305</v>
      </c>
      <c r="B415" s="6" t="s">
        <v>307</v>
      </c>
      <c r="C415" s="6" t="s">
        <v>1304</v>
      </c>
      <c r="D415" s="30" t="n">
        <v>8</v>
      </c>
      <c r="E415" s="6" t="s">
        <v>600</v>
      </c>
    </row>
    <row r="416" customFormat="false" ht="15" hidden="false" customHeight="false" outlineLevel="0" collapsed="false">
      <c r="A416" s="6" t="s">
        <v>1305</v>
      </c>
      <c r="B416" s="6" t="s">
        <v>307</v>
      </c>
      <c r="C416" s="6" t="s">
        <v>1313</v>
      </c>
      <c r="D416" s="30" t="n">
        <v>8</v>
      </c>
      <c r="E416" s="6" t="s">
        <v>600</v>
      </c>
    </row>
    <row r="417" customFormat="false" ht="15" hidden="false" customHeight="false" outlineLevel="0" collapsed="false">
      <c r="A417" s="6" t="s">
        <v>1154</v>
      </c>
      <c r="B417" s="6" t="s">
        <v>307</v>
      </c>
      <c r="C417" s="6" t="s">
        <v>1151</v>
      </c>
      <c r="D417" s="30" t="n">
        <v>8</v>
      </c>
      <c r="E417" s="6" t="s">
        <v>596</v>
      </c>
    </row>
    <row r="418" customFormat="false" ht="15" hidden="false" customHeight="false" outlineLevel="0" collapsed="false">
      <c r="A418" s="6" t="s">
        <v>1154</v>
      </c>
      <c r="B418" s="6" t="s">
        <v>307</v>
      </c>
      <c r="C418" s="6" t="s">
        <v>1306</v>
      </c>
      <c r="D418" s="30" t="n">
        <v>8</v>
      </c>
      <c r="E418" s="6" t="s">
        <v>600</v>
      </c>
    </row>
    <row r="419" customFormat="false" ht="15" hidden="false" customHeight="false" outlineLevel="0" collapsed="false">
      <c r="A419" s="6" t="s">
        <v>1149</v>
      </c>
      <c r="B419" s="6" t="s">
        <v>307</v>
      </c>
      <c r="C419" s="6" t="s">
        <v>1146</v>
      </c>
      <c r="D419" s="30" t="n">
        <v>8</v>
      </c>
      <c r="E419" s="6" t="s">
        <v>596</v>
      </c>
    </row>
    <row r="420" customFormat="false" ht="15" hidden="false" customHeight="false" outlineLevel="0" collapsed="false">
      <c r="A420" s="6" t="s">
        <v>1149</v>
      </c>
      <c r="B420" s="6" t="s">
        <v>307</v>
      </c>
      <c r="C420" s="6" t="s">
        <v>1318</v>
      </c>
      <c r="D420" s="30" t="n">
        <v>8</v>
      </c>
      <c r="E420" s="6" t="s">
        <v>600</v>
      </c>
    </row>
  </sheetData>
  <autoFilter ref="A4:E4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7"/>
    <col collapsed="false" customWidth="true" hidden="false" outlineLevel="0" max="11" min="10" style="0" width="11"/>
    <col collapsed="false" customWidth="true" hidden="false" outlineLevel="0" max="16" min="12" style="0" width="26"/>
    <col collapsed="false" customWidth="true" hidden="false" outlineLevel="0" max="17" min="17" style="0" width="34"/>
    <col collapsed="false" customWidth="true" hidden="false" outlineLevel="0" max="19" min="18" style="0" width="22"/>
  </cols>
  <sheetData>
    <row r="1" customFormat="false" ht="17.35" hidden="false" customHeight="false" outlineLevel="0" collapsed="false">
      <c r="A1" s="1" t="s">
        <v>1408</v>
      </c>
    </row>
    <row r="2" customFormat="false" ht="15" hidden="false" customHeight="false" outlineLevel="0" collapsed="false">
      <c r="A2" s="2" t="s">
        <v>1409</v>
      </c>
    </row>
    <row r="4" customFormat="false" ht="46.25" hidden="false" customHeight="false" outlineLevel="0" collapsed="false">
      <c r="A4" s="5" t="s">
        <v>15</v>
      </c>
      <c r="B4" s="5" t="s">
        <v>1410</v>
      </c>
      <c r="C4" s="5" t="s">
        <v>124</v>
      </c>
      <c r="D4" s="5" t="s">
        <v>918</v>
      </c>
      <c r="E4" s="5" t="s">
        <v>1411</v>
      </c>
      <c r="F4" s="5" t="s">
        <v>1412</v>
      </c>
      <c r="G4" s="5" t="s">
        <v>1413</v>
      </c>
      <c r="H4" s="5" t="s">
        <v>1414</v>
      </c>
      <c r="I4" s="5" t="s">
        <v>1415</v>
      </c>
      <c r="J4" s="5" t="s">
        <v>1416</v>
      </c>
      <c r="K4" s="5" t="s">
        <v>1417</v>
      </c>
      <c r="L4" s="5" t="s">
        <v>919</v>
      </c>
      <c r="M4" s="5" t="s">
        <v>1418</v>
      </c>
      <c r="N4" s="5" t="s">
        <v>1419</v>
      </c>
      <c r="O4" s="5" t="s">
        <v>1420</v>
      </c>
      <c r="P4" s="5" t="s">
        <v>1421</v>
      </c>
      <c r="Q4" s="5" t="s">
        <v>1422</v>
      </c>
      <c r="R4" s="5" t="s">
        <v>1423</v>
      </c>
      <c r="S4" s="5" t="s">
        <v>1424</v>
      </c>
    </row>
    <row r="5" customFormat="false" ht="46.25" hidden="false" customHeight="false" outlineLevel="0" collapsed="false">
      <c r="A5" s="6" t="s">
        <v>323</v>
      </c>
      <c r="B5" s="6" t="s">
        <v>1425</v>
      </c>
      <c r="C5" s="6" t="s">
        <v>264</v>
      </c>
      <c r="D5" s="7" t="s">
        <v>93</v>
      </c>
      <c r="E5" s="6" t="s">
        <v>1426</v>
      </c>
      <c r="F5" s="6" t="s">
        <v>1427</v>
      </c>
      <c r="G5" s="6" t="n">
        <v>4</v>
      </c>
      <c r="H5" s="6" t="s">
        <v>1428</v>
      </c>
      <c r="I5" s="6" t="s">
        <v>1428</v>
      </c>
      <c r="J5" s="6" t="n">
        <v>84</v>
      </c>
      <c r="K5" s="6" t="n">
        <v>168</v>
      </c>
      <c r="L5" s="6" t="s">
        <v>1429</v>
      </c>
      <c r="M5" s="6" t="s">
        <v>1430</v>
      </c>
      <c r="N5" s="6" t="s">
        <v>1431</v>
      </c>
      <c r="O5" s="6" t="s">
        <v>1432</v>
      </c>
      <c r="P5" s="6" t="s">
        <v>1433</v>
      </c>
      <c r="Q5" s="6" t="s">
        <v>1434</v>
      </c>
      <c r="R5" s="6" t="s">
        <v>1435</v>
      </c>
      <c r="S5" s="6" t="s">
        <v>1436</v>
      </c>
    </row>
    <row r="6" customFormat="false" ht="46.25" hidden="false" customHeight="false" outlineLevel="0" collapsed="false">
      <c r="A6" s="6" t="s">
        <v>318</v>
      </c>
      <c r="B6" s="6" t="s">
        <v>1425</v>
      </c>
      <c r="C6" s="6" t="s">
        <v>264</v>
      </c>
      <c r="D6" s="7" t="s">
        <v>319</v>
      </c>
      <c r="E6" s="6" t="s">
        <v>1426</v>
      </c>
      <c r="F6" s="6" t="s">
        <v>1427</v>
      </c>
      <c r="G6" s="6" t="n">
        <v>4</v>
      </c>
      <c r="H6" s="6" t="s">
        <v>1428</v>
      </c>
      <c r="I6" s="6" t="s">
        <v>1428</v>
      </c>
      <c r="J6" s="6" t="n">
        <v>84</v>
      </c>
      <c r="K6" s="6" t="n">
        <v>168</v>
      </c>
      <c r="L6" s="6" t="s">
        <v>1437</v>
      </c>
      <c r="M6" s="6" t="s">
        <v>1438</v>
      </c>
      <c r="N6" s="6" t="s">
        <v>1439</v>
      </c>
      <c r="O6" s="6" t="s">
        <v>1440</v>
      </c>
      <c r="P6" s="6" t="s">
        <v>1441</v>
      </c>
      <c r="Q6" s="6" t="s">
        <v>1442</v>
      </c>
      <c r="R6" s="6" t="s">
        <v>1443</v>
      </c>
      <c r="S6" s="6" t="s">
        <v>1444</v>
      </c>
    </row>
    <row r="7" customFormat="false" ht="23.85" hidden="false" customHeight="false" outlineLevel="0" collapsed="false">
      <c r="A7" s="6" t="s">
        <v>455</v>
      </c>
      <c r="B7" s="6" t="s">
        <v>1445</v>
      </c>
      <c r="C7" s="6" t="s">
        <v>326</v>
      </c>
      <c r="D7" s="7" t="s">
        <v>88</v>
      </c>
      <c r="E7" s="6" t="s">
        <v>1446</v>
      </c>
      <c r="F7" s="6" t="s">
        <v>1427</v>
      </c>
      <c r="G7" s="6" t="n">
        <v>4</v>
      </c>
      <c r="H7" s="6" t="s">
        <v>1447</v>
      </c>
      <c r="I7" s="6" t="s">
        <v>1428</v>
      </c>
      <c r="J7" s="6" t="n">
        <v>42</v>
      </c>
      <c r="K7" s="6" t="n">
        <v>84</v>
      </c>
      <c r="L7" s="6" t="s">
        <v>1448</v>
      </c>
      <c r="M7" s="6" t="s">
        <v>1449</v>
      </c>
      <c r="N7" s="6" t="s">
        <v>1450</v>
      </c>
      <c r="O7" s="6" t="s">
        <v>1451</v>
      </c>
      <c r="P7" s="6" t="s">
        <v>1452</v>
      </c>
      <c r="Q7" s="6" t="s">
        <v>43</v>
      </c>
      <c r="R7" s="6" t="s">
        <v>1449</v>
      </c>
      <c r="S7" s="6" t="s">
        <v>43</v>
      </c>
    </row>
    <row r="8" customFormat="false" ht="23.85" hidden="false" customHeight="false" outlineLevel="0" collapsed="false">
      <c r="A8" s="6" t="s">
        <v>451</v>
      </c>
      <c r="B8" s="6" t="s">
        <v>1445</v>
      </c>
      <c r="C8" s="6" t="s">
        <v>326</v>
      </c>
      <c r="D8" s="7" t="s">
        <v>452</v>
      </c>
      <c r="E8" s="6" t="s">
        <v>1426</v>
      </c>
      <c r="F8" s="6" t="s">
        <v>1427</v>
      </c>
      <c r="G8" s="6" t="n">
        <v>4</v>
      </c>
      <c r="H8" s="6" t="s">
        <v>1447</v>
      </c>
      <c r="I8" s="6" t="s">
        <v>1428</v>
      </c>
      <c r="J8" s="6" t="n">
        <v>42</v>
      </c>
      <c r="K8" s="6" t="n">
        <v>84</v>
      </c>
      <c r="L8" s="6" t="s">
        <v>1453</v>
      </c>
      <c r="M8" s="6" t="s">
        <v>1454</v>
      </c>
      <c r="N8" s="6" t="s">
        <v>1455</v>
      </c>
      <c r="O8" s="6" t="s">
        <v>1456</v>
      </c>
      <c r="P8" s="6" t="s">
        <v>1457</v>
      </c>
      <c r="Q8" s="6" t="s">
        <v>43</v>
      </c>
      <c r="R8" s="6" t="s">
        <v>1458</v>
      </c>
      <c r="S8" s="6" t="s">
        <v>43</v>
      </c>
    </row>
    <row r="9" customFormat="false" ht="23.85" hidden="false" customHeight="false" outlineLevel="0" collapsed="false">
      <c r="A9" s="6" t="s">
        <v>446</v>
      </c>
      <c r="B9" s="6" t="s">
        <v>1445</v>
      </c>
      <c r="C9" s="6" t="s">
        <v>326</v>
      </c>
      <c r="D9" s="7" t="s">
        <v>447</v>
      </c>
      <c r="E9" s="6" t="s">
        <v>1426</v>
      </c>
      <c r="F9" s="6" t="s">
        <v>1427</v>
      </c>
      <c r="G9" s="6" t="n">
        <v>4</v>
      </c>
      <c r="H9" s="6" t="s">
        <v>1447</v>
      </c>
      <c r="I9" s="6" t="s">
        <v>1428</v>
      </c>
      <c r="J9" s="6" t="n">
        <v>42</v>
      </c>
      <c r="K9" s="6" t="n">
        <v>84</v>
      </c>
      <c r="L9" s="6" t="s">
        <v>1459</v>
      </c>
      <c r="M9" s="6" t="s">
        <v>1460</v>
      </c>
      <c r="N9" s="6" t="s">
        <v>1461</v>
      </c>
      <c r="O9" s="6" t="s">
        <v>1462</v>
      </c>
      <c r="P9" s="6" t="s">
        <v>1463</v>
      </c>
      <c r="Q9" s="6" t="s">
        <v>43</v>
      </c>
      <c r="R9" s="6" t="s">
        <v>1464</v>
      </c>
      <c r="S9" s="6" t="s">
        <v>43</v>
      </c>
    </row>
    <row r="10" customFormat="false" ht="23.85" hidden="false" customHeight="false" outlineLevel="0" collapsed="false">
      <c r="A10" s="6" t="s">
        <v>441</v>
      </c>
      <c r="B10" s="6" t="s">
        <v>1445</v>
      </c>
      <c r="C10" s="6" t="s">
        <v>326</v>
      </c>
      <c r="D10" s="7" t="s">
        <v>442</v>
      </c>
      <c r="E10" s="6" t="s">
        <v>1446</v>
      </c>
      <c r="F10" s="6" t="s">
        <v>1427</v>
      </c>
      <c r="G10" s="6" t="n">
        <v>4</v>
      </c>
      <c r="H10" s="6" t="s">
        <v>1447</v>
      </c>
      <c r="I10" s="6" t="s">
        <v>1428</v>
      </c>
      <c r="J10" s="6" t="n">
        <v>42</v>
      </c>
      <c r="K10" s="6" t="n">
        <v>84</v>
      </c>
      <c r="L10" s="6" t="s">
        <v>1465</v>
      </c>
      <c r="M10" s="6" t="s">
        <v>1466</v>
      </c>
      <c r="N10" s="6" t="s">
        <v>1467</v>
      </c>
      <c r="O10" s="6" t="s">
        <v>1468</v>
      </c>
      <c r="P10" s="6" t="s">
        <v>1469</v>
      </c>
      <c r="Q10" s="6" t="s">
        <v>43</v>
      </c>
      <c r="R10" s="6" t="s">
        <v>43</v>
      </c>
      <c r="S10" s="6" t="s">
        <v>43</v>
      </c>
    </row>
    <row r="11" customFormat="false" ht="23.85" hidden="false" customHeight="false" outlineLevel="0" collapsed="false">
      <c r="A11" s="6" t="s">
        <v>276</v>
      </c>
      <c r="B11" s="6" t="s">
        <v>1445</v>
      </c>
      <c r="C11" s="6" t="s">
        <v>264</v>
      </c>
      <c r="D11" s="7" t="s">
        <v>277</v>
      </c>
      <c r="E11" s="6" t="s">
        <v>1426</v>
      </c>
      <c r="F11" s="6" t="s">
        <v>1470</v>
      </c>
      <c r="G11" s="6" t="n">
        <v>2</v>
      </c>
      <c r="H11" s="6" t="s">
        <v>1447</v>
      </c>
      <c r="I11" s="6" t="s">
        <v>1447</v>
      </c>
      <c r="J11" s="6" t="n">
        <v>84</v>
      </c>
      <c r="K11" s="6" t="n">
        <v>168</v>
      </c>
      <c r="L11" s="6" t="s">
        <v>1471</v>
      </c>
      <c r="M11" s="6" t="s">
        <v>1472</v>
      </c>
      <c r="N11" s="6" t="s">
        <v>1473</v>
      </c>
      <c r="O11" s="6" t="s">
        <v>43</v>
      </c>
      <c r="P11" s="6" t="s">
        <v>43</v>
      </c>
      <c r="Q11" s="6" t="s">
        <v>43</v>
      </c>
      <c r="R11" s="6" t="s">
        <v>43</v>
      </c>
      <c r="S11" s="6" t="s">
        <v>43</v>
      </c>
    </row>
    <row r="12" customFormat="false" ht="23.85" hidden="false" customHeight="false" outlineLevel="0" collapsed="false">
      <c r="A12" s="6" t="s">
        <v>272</v>
      </c>
      <c r="B12" s="6" t="s">
        <v>1445</v>
      </c>
      <c r="C12" s="6" t="s">
        <v>264</v>
      </c>
      <c r="D12" s="7" t="s">
        <v>273</v>
      </c>
      <c r="E12" s="6" t="s">
        <v>1426</v>
      </c>
      <c r="F12" s="6" t="s">
        <v>1470</v>
      </c>
      <c r="G12" s="6" t="n">
        <v>1</v>
      </c>
      <c r="H12" s="6" t="s">
        <v>1447</v>
      </c>
      <c r="I12" s="6" t="s">
        <v>1447</v>
      </c>
      <c r="J12" s="6" t="n">
        <v>84</v>
      </c>
      <c r="K12" s="6" t="n">
        <v>168</v>
      </c>
      <c r="L12" s="6" t="s">
        <v>1474</v>
      </c>
      <c r="M12" s="6" t="s">
        <v>1475</v>
      </c>
      <c r="N12" s="6" t="s">
        <v>43</v>
      </c>
      <c r="O12" s="6" t="s">
        <v>43</v>
      </c>
      <c r="P12" s="6" t="s">
        <v>43</v>
      </c>
      <c r="Q12" s="6" t="s">
        <v>43</v>
      </c>
      <c r="R12" s="6" t="s">
        <v>43</v>
      </c>
      <c r="S12" s="6" t="s">
        <v>43</v>
      </c>
    </row>
    <row r="13" customFormat="false" ht="23.85" hidden="false" customHeight="false" outlineLevel="0" collapsed="false">
      <c r="A13" s="6" t="s">
        <v>265</v>
      </c>
      <c r="B13" s="6" t="s">
        <v>1445</v>
      </c>
      <c r="C13" s="6" t="s">
        <v>264</v>
      </c>
      <c r="D13" s="7" t="s">
        <v>266</v>
      </c>
      <c r="E13" s="6" t="s">
        <v>1426</v>
      </c>
      <c r="F13" s="6" t="s">
        <v>1470</v>
      </c>
      <c r="G13" s="6" t="n">
        <v>1</v>
      </c>
      <c r="H13" s="6" t="s">
        <v>1447</v>
      </c>
      <c r="I13" s="6" t="s">
        <v>1447</v>
      </c>
      <c r="J13" s="6" t="n">
        <v>84</v>
      </c>
      <c r="K13" s="6" t="n">
        <v>168</v>
      </c>
      <c r="L13" s="6" t="s">
        <v>1476</v>
      </c>
      <c r="M13" s="6" t="s">
        <v>1477</v>
      </c>
      <c r="N13" s="6" t="s">
        <v>43</v>
      </c>
      <c r="O13" s="6" t="s">
        <v>43</v>
      </c>
      <c r="P13" s="6" t="s">
        <v>43</v>
      </c>
      <c r="Q13" s="6" t="s">
        <v>43</v>
      </c>
      <c r="R13" s="6" t="s">
        <v>43</v>
      </c>
      <c r="S13" s="6" t="s">
        <v>43</v>
      </c>
    </row>
    <row r="14" customFormat="false" ht="23.85" hidden="false" customHeight="false" outlineLevel="0" collapsed="false">
      <c r="A14" s="6" t="s">
        <v>428</v>
      </c>
      <c r="B14" s="6" t="s">
        <v>1445</v>
      </c>
      <c r="C14" s="6" t="s">
        <v>326</v>
      </c>
      <c r="D14" s="7" t="s">
        <v>429</v>
      </c>
      <c r="E14" s="6" t="s">
        <v>1426</v>
      </c>
      <c r="F14" s="6" t="s">
        <v>1470</v>
      </c>
      <c r="G14" s="6" t="n">
        <v>2</v>
      </c>
      <c r="H14" s="6" t="s">
        <v>1447</v>
      </c>
      <c r="I14" s="6" t="s">
        <v>1447</v>
      </c>
      <c r="J14" s="6" t="n">
        <v>42</v>
      </c>
      <c r="K14" s="6" t="n">
        <v>84</v>
      </c>
      <c r="L14" s="6" t="s">
        <v>1478</v>
      </c>
      <c r="M14" s="6" t="s">
        <v>1479</v>
      </c>
      <c r="N14" s="6" t="s">
        <v>1480</v>
      </c>
      <c r="O14" s="6" t="s">
        <v>43</v>
      </c>
      <c r="P14" s="6" t="s">
        <v>43</v>
      </c>
      <c r="Q14" s="6" t="s">
        <v>43</v>
      </c>
      <c r="R14" s="6" t="s">
        <v>43</v>
      </c>
      <c r="S14" s="6" t="s">
        <v>43</v>
      </c>
    </row>
    <row r="15" customFormat="false" ht="23.85" hidden="false" customHeight="false" outlineLevel="0" collapsed="false">
      <c r="A15" s="6" t="s">
        <v>424</v>
      </c>
      <c r="B15" s="6" t="s">
        <v>1445</v>
      </c>
      <c r="C15" s="6" t="s">
        <v>326</v>
      </c>
      <c r="D15" s="7" t="s">
        <v>425</v>
      </c>
      <c r="E15" s="6" t="s">
        <v>1426</v>
      </c>
      <c r="F15" s="6" t="s">
        <v>1470</v>
      </c>
      <c r="G15" s="6" t="n">
        <v>1</v>
      </c>
      <c r="H15" s="6" t="s">
        <v>1447</v>
      </c>
      <c r="I15" s="6" t="s">
        <v>1447</v>
      </c>
      <c r="J15" s="6" t="n">
        <v>42</v>
      </c>
      <c r="K15" s="6" t="n">
        <v>84</v>
      </c>
      <c r="L15" s="6" t="s">
        <v>1481</v>
      </c>
      <c r="M15" s="6" t="s">
        <v>1482</v>
      </c>
      <c r="N15" s="6" t="s">
        <v>43</v>
      </c>
      <c r="O15" s="6" t="s">
        <v>43</v>
      </c>
      <c r="P15" s="6" t="s">
        <v>43</v>
      </c>
      <c r="Q15" s="6" t="s">
        <v>43</v>
      </c>
      <c r="R15" s="6" t="s">
        <v>43</v>
      </c>
      <c r="S15" s="6" t="s">
        <v>43</v>
      </c>
    </row>
    <row r="16" customFormat="false" ht="23.85" hidden="false" customHeight="false" outlineLevel="0" collapsed="false">
      <c r="A16" s="6" t="s">
        <v>420</v>
      </c>
      <c r="B16" s="6" t="s">
        <v>1445</v>
      </c>
      <c r="C16" s="6" t="s">
        <v>326</v>
      </c>
      <c r="D16" s="7" t="s">
        <v>421</v>
      </c>
      <c r="E16" s="6" t="s">
        <v>1426</v>
      </c>
      <c r="F16" s="6" t="s">
        <v>1470</v>
      </c>
      <c r="G16" s="6" t="n">
        <v>1</v>
      </c>
      <c r="H16" s="6" t="s">
        <v>1447</v>
      </c>
      <c r="I16" s="6" t="s">
        <v>1447</v>
      </c>
      <c r="J16" s="6" t="n">
        <v>42</v>
      </c>
      <c r="K16" s="6" t="n">
        <v>84</v>
      </c>
      <c r="L16" s="6" t="s">
        <v>1483</v>
      </c>
      <c r="M16" s="6" t="s">
        <v>1484</v>
      </c>
      <c r="N16" s="6" t="s">
        <v>43</v>
      </c>
      <c r="O16" s="6" t="s">
        <v>43</v>
      </c>
      <c r="P16" s="6" t="s">
        <v>43</v>
      </c>
      <c r="Q16" s="6" t="s">
        <v>43</v>
      </c>
      <c r="R16" s="6" t="s">
        <v>43</v>
      </c>
      <c r="S16" s="6" t="s">
        <v>43</v>
      </c>
    </row>
    <row r="17" customFormat="false" ht="23.85" hidden="false" customHeight="false" outlineLevel="0" collapsed="false">
      <c r="A17" s="6" t="s">
        <v>437</v>
      </c>
      <c r="B17" s="6" t="s">
        <v>1485</v>
      </c>
      <c r="C17" s="6" t="s">
        <v>326</v>
      </c>
      <c r="D17" s="7" t="s">
        <v>438</v>
      </c>
      <c r="E17" s="6" t="s">
        <v>1426</v>
      </c>
      <c r="F17" s="6" t="s">
        <v>1470</v>
      </c>
      <c r="G17" s="6" t="n">
        <v>0</v>
      </c>
      <c r="H17" s="6" t="s">
        <v>1447</v>
      </c>
      <c r="I17" s="6" t="s">
        <v>1428</v>
      </c>
      <c r="J17" s="6" t="n">
        <v>42</v>
      </c>
      <c r="K17" s="6" t="n">
        <v>84</v>
      </c>
      <c r="L17" s="6" t="s">
        <v>1486</v>
      </c>
      <c r="M17" s="6" t="s">
        <v>43</v>
      </c>
      <c r="N17" s="6" t="s">
        <v>43</v>
      </c>
      <c r="O17" s="6" t="s">
        <v>43</v>
      </c>
      <c r="P17" s="6" t="s">
        <v>43</v>
      </c>
      <c r="Q17" s="6" t="s">
        <v>43</v>
      </c>
      <c r="R17" s="6" t="s">
        <v>43</v>
      </c>
      <c r="S17" s="6" t="s">
        <v>43</v>
      </c>
    </row>
    <row r="18" customFormat="false" ht="23.85" hidden="false" customHeight="false" outlineLevel="0" collapsed="false">
      <c r="A18" s="6" t="s">
        <v>432</v>
      </c>
      <c r="B18" s="6" t="s">
        <v>1485</v>
      </c>
      <c r="C18" s="6" t="s">
        <v>326</v>
      </c>
      <c r="D18" s="7" t="s">
        <v>433</v>
      </c>
      <c r="E18" s="6" t="s">
        <v>1426</v>
      </c>
      <c r="F18" s="6" t="s">
        <v>1470</v>
      </c>
      <c r="G18" s="6" t="n">
        <v>0</v>
      </c>
      <c r="H18" s="6" t="s">
        <v>1447</v>
      </c>
      <c r="I18" s="6" t="s">
        <v>1428</v>
      </c>
      <c r="J18" s="6" t="n">
        <v>42</v>
      </c>
      <c r="K18" s="6" t="n">
        <v>84</v>
      </c>
      <c r="L18" s="6" t="s">
        <v>1487</v>
      </c>
      <c r="M18" s="6" t="s">
        <v>43</v>
      </c>
      <c r="N18" s="6" t="s">
        <v>43</v>
      </c>
      <c r="O18" s="6" t="s">
        <v>43</v>
      </c>
      <c r="P18" s="6" t="s">
        <v>43</v>
      </c>
      <c r="Q18" s="6" t="s">
        <v>43</v>
      </c>
      <c r="R18" s="6" t="s">
        <v>43</v>
      </c>
      <c r="S18" s="6" t="s">
        <v>43</v>
      </c>
    </row>
    <row r="20" customFormat="false" ht="15" hidden="false" customHeight="false" outlineLevel="0" collapsed="false">
      <c r="A20" s="3" t="s">
        <v>1488</v>
      </c>
    </row>
    <row r="21" customFormat="false" ht="15" hidden="false" customHeight="false" outlineLevel="0" collapsed="false">
      <c r="A21" s="8" t="s">
        <v>1489</v>
      </c>
    </row>
    <row r="23" customFormat="false" ht="15" hidden="false" customHeight="false" outlineLevel="0" collapsed="false">
      <c r="A23" s="3" t="s">
        <v>1490</v>
      </c>
    </row>
    <row r="24" customFormat="false" ht="15" hidden="false" customHeight="false" outlineLevel="0" collapsed="false">
      <c r="A24" s="8" t="s">
        <v>1491</v>
      </c>
      <c r="B24" s="31" t="n">
        <v>16000000</v>
      </c>
      <c r="C24" s="17" t="s">
        <v>1492</v>
      </c>
    </row>
    <row r="25" customFormat="false" ht="15" hidden="false" customHeight="false" outlineLevel="0" collapsed="false">
      <c r="A25" s="8" t="s">
        <v>646</v>
      </c>
      <c r="B25" s="31" t="n">
        <v>15</v>
      </c>
    </row>
    <row r="26" customFormat="false" ht="15" hidden="false" customHeight="false" outlineLevel="0" collapsed="false">
      <c r="A26" s="8" t="s">
        <v>650</v>
      </c>
      <c r="B26" s="31" t="n">
        <v>999</v>
      </c>
    </row>
    <row r="27" customFormat="false" ht="15" hidden="false" customHeight="false" outlineLevel="0" collapsed="false">
      <c r="A27" s="8" t="s">
        <v>776</v>
      </c>
      <c r="B27" s="31" t="n">
        <v>250</v>
      </c>
    </row>
    <row r="28" customFormat="false" ht="15" hidden="false" customHeight="false" outlineLevel="0" collapsed="false">
      <c r="A28" s="3" t="s">
        <v>1493</v>
      </c>
      <c r="B28" s="3" t="n">
        <f aca="false">B24/((B25+1)*(B26+1))</f>
        <v>1000</v>
      </c>
    </row>
    <row r="29" customFormat="false" ht="15" hidden="false" customHeight="false" outlineLevel="0" collapsed="false">
      <c r="A29" s="3" t="s">
        <v>1494</v>
      </c>
      <c r="B29" s="32" t="n">
        <f aca="false">B27/(B26+1)</f>
        <v>0.25</v>
      </c>
    </row>
    <row r="30" customFormat="false" ht="15" hidden="false" customHeight="false" outlineLevel="0" collapsed="false">
      <c r="A30" s="3" t="s">
        <v>1495</v>
      </c>
      <c r="B30" s="33" t="n">
        <f aca="false">1000/B28</f>
        <v>1</v>
      </c>
    </row>
  </sheetData>
  <autoFilter ref="A4:S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1496</v>
      </c>
    </row>
    <row r="2" customFormat="false" ht="15" hidden="false" customHeight="false" outlineLevel="0" collapsed="false">
      <c r="A2" s="2" t="s">
        <v>1497</v>
      </c>
    </row>
    <row r="4" customFormat="false" ht="15" hidden="false" customHeight="false" outlineLevel="0" collapsed="false">
      <c r="A4" s="3" t="s">
        <v>5</v>
      </c>
      <c r="B4" s="34" t="s">
        <v>245</v>
      </c>
    </row>
    <row r="5" customFormat="false" ht="15" hidden="false" customHeight="false" outlineLevel="0" collapsed="false">
      <c r="A5" s="3" t="s">
        <v>7</v>
      </c>
      <c r="B5" s="34" t="s">
        <v>582</v>
      </c>
    </row>
    <row r="7" customFormat="false" ht="15" hidden="false" customHeight="false" outlineLevel="0" collapsed="false">
      <c r="A7" s="8" t="s">
        <v>126</v>
      </c>
      <c r="B7" s="35" t="str">
        <f aca="false">INDEX(Peripheral!$E$5:$E$72,MATCH(B4,Peripheral!$B$5:$B$72,0))</f>
        <v>GPIO</v>
      </c>
    </row>
    <row r="8" customFormat="false" ht="15" hidden="false" customHeight="false" outlineLevel="0" collapsed="false">
      <c r="A8" s="8" t="s">
        <v>125</v>
      </c>
      <c r="B8" s="35" t="str">
        <f aca="false">INDEX(Peripheral!$C$5:$C$72,MATCH(B4,Peripheral!$B$5:$B$72,0))</f>
        <v>0x40020C00</v>
      </c>
    </row>
    <row r="9" customFormat="false" ht="15" hidden="false" customHeight="false" outlineLevel="0" collapsed="false">
      <c r="A9" s="8" t="s">
        <v>461</v>
      </c>
      <c r="B9" s="35" t="str">
        <f aca="false">INDEX(Register!$C$5:$C$118,MATCH(B7&amp;"|"&amp;B5,Register!$H$5:$H$118,0))</f>
        <v>0x14</v>
      </c>
    </row>
    <row r="10" customFormat="false" ht="15" hidden="false" customHeight="false" outlineLevel="0" collapsed="false">
      <c r="A10" s="36" t="s">
        <v>1498</v>
      </c>
      <c r="B10" s="37" t="str">
        <f aca="false">IFERROR("0x"&amp;DEC2HEX(HEX2DEC(SUBSTITUTE(B8,"0x",""))+HEX2DEC(SUBSTITUTE(B9,"0x","")),8),"Tidak ditemukan: cek ejaan")</f>
        <v>0x40020C14</v>
      </c>
    </row>
    <row r="11" customFormat="false" ht="15" hidden="false" customHeight="false" outlineLevel="0" collapsed="false">
      <c r="A11" s="8" t="s">
        <v>127</v>
      </c>
      <c r="B11" s="4" t="str">
        <f aca="false">IFERROR(INDEX(Register!$F$5:$F$118,MATCH(B7&amp;"|"&amp;B5,Register!$H$5:$H$118,0)),"-")</f>
        <v>Menulis level output. 1 bit per pin</v>
      </c>
    </row>
    <row r="12" customFormat="false" ht="15" hidden="false" customHeight="false" outlineLevel="0" collapsed="false">
      <c r="A12" s="8" t="s">
        <v>464</v>
      </c>
      <c r="B12" s="4" t="str">
        <f aca="false">IFERROR(INDEX(Register!$G$5:$G$118,MATCH(B7&amp;"|"&amp;B5,Register!$H$5:$H$118,0)),"-")</f>
        <v>Read-modify-write: hati-hati kalau diubah juga oleh interrupt</v>
      </c>
    </row>
    <row r="13" customFormat="false" ht="15" hidden="false" customHeight="false" outlineLevel="0" collapsed="false">
      <c r="A13" s="8" t="s">
        <v>1499</v>
      </c>
      <c r="B13" s="35" t="str">
        <f aca="false">IFERROR("#define "&amp;B4&amp;"_"&amp;B5&amp;"  (*(volatile uint32_t *)"&amp;B10&amp;"UL)","-")</f>
        <v>#define GPIOD_ODR  (*(volatile uint32_t *)0x40020C14UL)</v>
      </c>
    </row>
  </sheetData>
  <dataValidations count="1">
    <dataValidation allowBlank="false" errorStyle="stop" operator="between" showDropDown="false" showErrorMessage="false" showInputMessage="false" sqref="B4" type="list">
      <formula1>Peripheral!$B$5:$B$72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2026-10-16T03:58:06Z</dcterms:created>
  <dc:creator>openpyxl</dc:creator>
  <dc:description/>
  <dc:language>en-US</dc:language>
  <cp:lastModifiedBy/>
  <dcterms:modified xsi:type="dcterms:W3CDTF">2026-10-16T03:58:06Z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